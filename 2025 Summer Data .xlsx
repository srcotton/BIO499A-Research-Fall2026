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amanthacotton/Desktop/BIO-499/"/>
    </mc:Choice>
  </mc:AlternateContent>
  <xr:revisionPtr revIDLastSave="0" documentId="13_ncr:1_{BBE03EAA-21D3-7F47-9D5B-95DC06C6B606}" xr6:coauthVersionLast="47" xr6:coauthVersionMax="47" xr10:uidLastSave="{00000000-0000-0000-0000-000000000000}"/>
  <bookViews>
    <workbookView xWindow="900" yWindow="1360" windowWidth="26700" windowHeight="17940" activeTab="1" xr2:uid="{00000000-000D-0000-FFFF-FFFF00000000}"/>
  </bookViews>
  <sheets>
    <sheet name="Recompiled Data" sheetId="1" r:id="rId1"/>
    <sheet name="Sheet1" sheetId="9" r:id="rId2"/>
    <sheet name="Sorted by time" sheetId="2" r:id="rId3"/>
    <sheet name="Meredith" sheetId="3" r:id="rId4"/>
    <sheet name="Compiled Data" sheetId="4" r:id="rId5"/>
    <sheet name="Anuran Species List" sheetId="5" r:id="rId6"/>
    <sheet name="Graphs Anuran Species List" sheetId="6" r:id="rId7"/>
    <sheet name="Graphs Fall 2025" sheetId="7" r:id="rId8"/>
    <sheet name="Spring 2026" sheetId="8" r:id="rId9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D5" i="4"/>
  <c r="D3" i="4"/>
  <c r="G612" i="2"/>
  <c r="F612" i="2"/>
  <c r="G613" i="2" s="1"/>
  <c r="G611" i="2"/>
  <c r="G610" i="2"/>
  <c r="G609" i="2"/>
  <c r="G597" i="2"/>
  <c r="F597" i="2"/>
  <c r="G596" i="2"/>
  <c r="C592" i="2"/>
  <c r="G581" i="2"/>
  <c r="F581" i="2"/>
  <c r="C581" i="2"/>
  <c r="G615" i="1"/>
  <c r="F615" i="1"/>
  <c r="G604" i="1"/>
  <c r="F604" i="1"/>
  <c r="G596" i="1"/>
  <c r="G590" i="1"/>
  <c r="D13" i="4" s="1"/>
  <c r="F590" i="1"/>
  <c r="G586" i="1"/>
  <c r="D12" i="4" s="1"/>
  <c r="G584" i="1"/>
  <c r="G582" i="1"/>
  <c r="G580" i="1"/>
  <c r="G577" i="1"/>
  <c r="F577" i="1"/>
  <c r="C577" i="1"/>
  <c r="G544" i="1"/>
  <c r="F544" i="1"/>
  <c r="C544" i="1"/>
  <c r="G530" i="1"/>
  <c r="F530" i="1"/>
  <c r="C530" i="1"/>
  <c r="G479" i="1"/>
  <c r="F479" i="1"/>
  <c r="C479" i="1"/>
  <c r="G425" i="1"/>
  <c r="F425" i="1"/>
  <c r="C425" i="1"/>
  <c r="G354" i="1"/>
  <c r="F354" i="1"/>
  <c r="G300" i="1"/>
  <c r="F300" i="1"/>
  <c r="G255" i="1"/>
  <c r="D15" i="4" s="1"/>
  <c r="F255" i="1"/>
  <c r="G250" i="1"/>
  <c r="F250" i="1"/>
  <c r="G246" i="1"/>
  <c r="F246" i="1"/>
  <c r="G243" i="1"/>
  <c r="F243" i="1"/>
  <c r="G237" i="1"/>
  <c r="G232" i="1"/>
  <c r="G205" i="1"/>
  <c r="G179" i="1"/>
  <c r="C179" i="1"/>
  <c r="G153" i="1"/>
  <c r="D14" i="4" s="1"/>
  <c r="G125" i="1"/>
  <c r="F125" i="1"/>
  <c r="C125" i="1"/>
  <c r="G112" i="1"/>
  <c r="F112" i="1"/>
  <c r="C112" i="1"/>
  <c r="G83" i="1"/>
  <c r="F83" i="1"/>
  <c r="C83" i="1"/>
  <c r="G80" i="1"/>
  <c r="F80" i="1"/>
  <c r="C80" i="1"/>
  <c r="G76" i="1"/>
  <c r="D7" i="4" s="1"/>
  <c r="F76" i="1"/>
  <c r="C76" i="1"/>
  <c r="G73" i="1"/>
  <c r="D4" i="4" s="1"/>
  <c r="F73" i="1"/>
  <c r="C73" i="1"/>
  <c r="G67" i="1"/>
  <c r="F67" i="1"/>
  <c r="C67" i="1"/>
  <c r="G41" i="1"/>
  <c r="F41" i="1"/>
  <c r="C41" i="1"/>
  <c r="G29" i="1"/>
  <c r="F29" i="1"/>
  <c r="C29" i="1"/>
  <c r="G3" i="1"/>
  <c r="F3" i="1"/>
  <c r="C3" i="1"/>
  <c r="F600" i="2" l="1"/>
  <c r="F598" i="2"/>
  <c r="G599" i="2"/>
  <c r="F599" i="2"/>
  <c r="G600" i="2"/>
  <c r="G598" i="2"/>
  <c r="F582" i="2"/>
  <c r="G584" i="2" s="1"/>
  <c r="F583" i="2"/>
  <c r="G583" i="2"/>
  <c r="G582" i="2"/>
  <c r="F585" i="2"/>
  <c r="F584" i="2"/>
  <c r="C582" i="2"/>
  <c r="C583" i="2"/>
  <c r="F586" i="2" l="1"/>
  <c r="G586" i="2"/>
  <c r="G585" i="2"/>
  <c r="C585" i="2"/>
  <c r="C584" i="2"/>
  <c r="F588" i="2" l="1"/>
  <c r="G588" i="2"/>
  <c r="C586" i="2"/>
  <c r="F587" i="2"/>
  <c r="G587" i="2"/>
  <c r="C588" i="2" l="1"/>
  <c r="F589" i="2"/>
  <c r="F590" i="2"/>
  <c r="G589" i="2"/>
  <c r="C587" i="2"/>
  <c r="G601" i="2" l="1"/>
  <c r="G592" i="2"/>
  <c r="C589" i="2"/>
  <c r="C590" i="2" s="1"/>
  <c r="C603" i="2" s="1"/>
  <c r="F601" i="2"/>
  <c r="G595" i="2"/>
  <c r="G593" i="2"/>
  <c r="G590" i="2"/>
  <c r="G591" i="2"/>
  <c r="G604" i="2" l="1"/>
  <c r="F602" i="2"/>
  <c r="C604" i="2"/>
  <c r="C605" i="2" s="1"/>
  <c r="C606" i="2"/>
  <c r="C607" i="2" s="1"/>
  <c r="G602" i="2"/>
  <c r="F603" i="2"/>
  <c r="F604" i="2"/>
  <c r="F605" i="2" s="1"/>
  <c r="G605" i="2"/>
  <c r="G603" i="2"/>
  <c r="F606" i="2" l="1"/>
  <c r="G606" i="2"/>
  <c r="F607" i="2" l="1"/>
  <c r="G607" i="2"/>
  <c r="G608" i="2"/>
  <c r="G614" i="2" l="1"/>
  <c r="F614" i="2"/>
  <c r="F615" i="2" l="1"/>
  <c r="G615" i="2"/>
</calcChain>
</file>

<file path=xl/sharedStrings.xml><?xml version="1.0" encoding="utf-8"?>
<sst xmlns="http://schemas.openxmlformats.org/spreadsheetml/2006/main" count="3805" uniqueCount="90">
  <si>
    <t>Site Name</t>
  </si>
  <si>
    <t>Hypotheses:</t>
  </si>
  <si>
    <t>Retention Pond:</t>
  </si>
  <si>
    <t>Species name</t>
  </si>
  <si>
    <t>Precipitation</t>
  </si>
  <si>
    <t>Date</t>
  </si>
  <si>
    <t>Time-Hour at which heard</t>
  </si>
  <si>
    <t>How many species of anurans can we audio record and match to visual species known?</t>
  </si>
  <si>
    <t>5 Minute Block</t>
  </si>
  <si>
    <t>Species</t>
  </si>
  <si>
    <t>Total Minutes Called</t>
  </si>
  <si>
    <t>Scientific</t>
  </si>
  <si>
    <t>How many days that we record do we hear frogs? and which species?</t>
  </si>
  <si>
    <t>Scientific Name</t>
  </si>
  <si>
    <t>Total minutes</t>
  </si>
  <si>
    <t>Number of Days</t>
  </si>
  <si>
    <t>How many species are calling at once?</t>
  </si>
  <si>
    <t>Different species calling at the same time</t>
  </si>
  <si>
    <t>Squirrel treefrog</t>
  </si>
  <si>
    <t>How many hours of recording?</t>
  </si>
  <si>
    <t>Retention Pond</t>
  </si>
  <si>
    <t>Hyla squirella</t>
  </si>
  <si>
    <t>How many hours with anuran calls?</t>
  </si>
  <si>
    <t>Cope's Gray</t>
  </si>
  <si>
    <t>When during the day are they calling?</t>
  </si>
  <si>
    <t>Future hypotheses?</t>
  </si>
  <si>
    <t>Cue rates of different amphibian species-seasonality, temperature, location, and Bd loads</t>
  </si>
  <si>
    <t>Site Location</t>
  </si>
  <si>
    <t>Temp Low and High in Farenheit</t>
  </si>
  <si>
    <t>Dryophytes chrysoscelis</t>
  </si>
  <si>
    <t>Time 5 Minute Block</t>
  </si>
  <si>
    <t>Full Time of 5 Minutes</t>
  </si>
  <si>
    <t>Summary:</t>
  </si>
  <si>
    <t>Total Number of times/Day</t>
  </si>
  <si>
    <t>Meredith College</t>
  </si>
  <si>
    <t>No</t>
  </si>
  <si>
    <t>77/90</t>
  </si>
  <si>
    <t>Green treefrog</t>
  </si>
  <si>
    <t>Squirrel tree frog</t>
  </si>
  <si>
    <t>Hyla cinerea</t>
  </si>
  <si>
    <t>Micropond</t>
  </si>
  <si>
    <t>Bullfrog</t>
  </si>
  <si>
    <t>Lithobates catesbeianus</t>
  </si>
  <si>
    <t xml:space="preserve">Cope's Gray </t>
  </si>
  <si>
    <t>Cope's Gray treefrog</t>
  </si>
  <si>
    <t>72/91</t>
  </si>
  <si>
    <t>Yes</t>
  </si>
  <si>
    <t>Green tree frog</t>
  </si>
  <si>
    <t>Green frog</t>
  </si>
  <si>
    <t>Lithobates clamitans</t>
  </si>
  <si>
    <t>Micro Pond:</t>
  </si>
  <si>
    <t xml:space="preserve">Summary: </t>
  </si>
  <si>
    <t>Green Frog</t>
  </si>
  <si>
    <t>71/91</t>
  </si>
  <si>
    <t>N/A</t>
  </si>
  <si>
    <t>Check, could be green treefrogs. This hour only recorded 3 minutes</t>
  </si>
  <si>
    <t>Visual</t>
  </si>
  <si>
    <t>Species Name</t>
  </si>
  <si>
    <t>2:04:00 AM like half way</t>
  </si>
  <si>
    <t>high pitch</t>
  </si>
  <si>
    <t>Cope's Gray tf</t>
  </si>
  <si>
    <t>Dryophytes chrysosscelis</t>
  </si>
  <si>
    <t>3 AM almost the end but not quite</t>
  </si>
  <si>
    <t>Alarmed squeal and jump into water</t>
  </si>
  <si>
    <t>Green/Bronze frog</t>
  </si>
  <si>
    <t>This hour only recorded 3 minutes</t>
  </si>
  <si>
    <t>3:04 sounds like frogs but farther away? and another yelp towards end</t>
  </si>
  <si>
    <t>American Bullfrog</t>
  </si>
  <si>
    <t>Lithobates catesbaina</t>
  </si>
  <si>
    <t xml:space="preserve">Acoustic </t>
  </si>
  <si>
    <t>Micro Pond</t>
  </si>
  <si>
    <t>Summary</t>
  </si>
  <si>
    <t>Times of day Retention</t>
  </si>
  <si>
    <t>Times of day Micropond</t>
  </si>
  <si>
    <t>Visual Identification</t>
  </si>
  <si>
    <t>Audio Identification</t>
  </si>
  <si>
    <t>X</t>
  </si>
  <si>
    <t>Acoustic</t>
  </si>
  <si>
    <t>Minutes called</t>
  </si>
  <si>
    <t>Retention pond - reedy marshy</t>
  </si>
  <si>
    <t>Micropond - small pond</t>
  </si>
  <si>
    <t>site</t>
  </si>
  <si>
    <t>species</t>
  </si>
  <si>
    <t>precipitation</t>
  </si>
  <si>
    <t>date</t>
  </si>
  <si>
    <t>time_hour_heard</t>
  </si>
  <si>
    <t>five_min</t>
  </si>
  <si>
    <t>total_min</t>
  </si>
  <si>
    <t>scientific_name</t>
  </si>
  <si>
    <t>total_species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</si>
</sst>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mm\ d\ h:mm\ AM/PM"/>
    <numFmt numFmtId="167" formatCode="m/d/yyyy;@"/>
    <numFmt numFmtId="170" formatCode="[$-F400]h:mm:ss\ AM/PM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  <scheme val="minor"/>
    </font>
    <font>
      <i/>
      <sz val="10"/>
      <color rgb="FF212529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i/>
      <sz val="24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14">
    <border>
      <left/>
      <right/>
      <top/>
      <bottom/>
      <diagonal/>
    </border>
    <border>
      <left/>
      <right/>
      <top style="dotted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64" fontId="3" fillId="0" borderId="0" xfId="0" applyNumberFormat="1" applyFont="1"/>
    <xf numFmtId="18" fontId="3" fillId="0" borderId="0" xfId="0" applyNumberFormat="1" applyFont="1"/>
    <xf numFmtId="0" fontId="5" fillId="0" borderId="0" xfId="0" applyFont="1" applyAlignment="1">
      <alignment wrapText="1"/>
    </xf>
    <xf numFmtId="0" fontId="3" fillId="0" borderId="1" xfId="0" applyFont="1" applyBorder="1"/>
    <xf numFmtId="164" fontId="3" fillId="0" borderId="1" xfId="0" applyNumberFormat="1" applyFont="1" applyBorder="1"/>
    <xf numFmtId="18" fontId="3" fillId="0" borderId="1" xfId="0" applyNumberFormat="1" applyFont="1" applyBorder="1"/>
    <xf numFmtId="0" fontId="5" fillId="0" borderId="1" xfId="0" applyFont="1" applyBorder="1" applyAlignment="1">
      <alignment wrapText="1"/>
    </xf>
    <xf numFmtId="0" fontId="6" fillId="2" borderId="0" xfId="0" applyFont="1" applyFill="1" applyAlignment="1">
      <alignment wrapText="1"/>
    </xf>
    <xf numFmtId="0" fontId="1" fillId="0" borderId="0" xfId="0" applyFont="1" applyAlignment="1">
      <alignment horizontal="right"/>
    </xf>
    <xf numFmtId="164" fontId="2" fillId="0" borderId="0" xfId="0" applyNumberFormat="1" applyFont="1"/>
    <xf numFmtId="18" fontId="2" fillId="0" borderId="0" xfId="0" applyNumberFormat="1" applyFont="1"/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8" fontId="4" fillId="0" borderId="0" xfId="0" applyNumberFormat="1" applyFont="1"/>
    <xf numFmtId="0" fontId="3" fillId="0" borderId="2" xfId="0" applyFont="1" applyBorder="1"/>
    <xf numFmtId="0" fontId="2" fillId="0" borderId="2" xfId="0" applyFont="1" applyBorder="1"/>
    <xf numFmtId="18" fontId="2" fillId="0" borderId="2" xfId="0" applyNumberFormat="1" applyFont="1" applyBorder="1"/>
    <xf numFmtId="0" fontId="4" fillId="0" borderId="2" xfId="0" applyFont="1" applyBorder="1"/>
    <xf numFmtId="0" fontId="3" fillId="0" borderId="3" xfId="0" applyFont="1" applyBorder="1"/>
    <xf numFmtId="18" fontId="3" fillId="0" borderId="2" xfId="0" applyNumberFormat="1" applyFont="1" applyBorder="1"/>
    <xf numFmtId="0" fontId="2" fillId="0" borderId="3" xfId="0" applyFont="1" applyBorder="1"/>
    <xf numFmtId="0" fontId="4" fillId="0" borderId="3" xfId="0" applyFont="1" applyBorder="1"/>
    <xf numFmtId="164" fontId="3" fillId="0" borderId="3" xfId="0" applyNumberFormat="1" applyFont="1" applyBorder="1"/>
    <xf numFmtId="18" fontId="3" fillId="0" borderId="3" xfId="0" applyNumberFormat="1" applyFont="1" applyBorder="1"/>
    <xf numFmtId="164" fontId="3" fillId="0" borderId="2" xfId="0" applyNumberFormat="1" applyFont="1" applyBorder="1"/>
    <xf numFmtId="0" fontId="5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165" fontId="3" fillId="0" borderId="0" xfId="0" applyNumberFormat="1" applyFont="1"/>
    <xf numFmtId="0" fontId="3" fillId="0" borderId="5" xfId="0" applyFont="1" applyBorder="1"/>
    <xf numFmtId="0" fontId="5" fillId="0" borderId="7" xfId="0" applyFont="1" applyBorder="1"/>
    <xf numFmtId="0" fontId="5" fillId="0" borderId="8" xfId="0" applyFont="1" applyBorder="1"/>
    <xf numFmtId="0" fontId="3" fillId="0" borderId="4" xfId="0" applyFont="1" applyBorder="1"/>
    <xf numFmtId="0" fontId="5" fillId="0" borderId="9" xfId="0" applyFont="1" applyBorder="1"/>
    <xf numFmtId="0" fontId="5" fillId="0" borderId="4" xfId="0" applyFont="1" applyBorder="1"/>
    <xf numFmtId="0" fontId="5" fillId="3" borderId="5" xfId="0" applyFont="1" applyFill="1" applyBorder="1"/>
    <xf numFmtId="0" fontId="5" fillId="3" borderId="10" xfId="0" applyFont="1" applyFill="1" applyBorder="1"/>
    <xf numFmtId="0" fontId="7" fillId="0" borderId="2" xfId="0" applyFont="1" applyBorder="1"/>
    <xf numFmtId="164" fontId="2" fillId="0" borderId="2" xfId="0" applyNumberFormat="1" applyFont="1" applyBorder="1"/>
    <xf numFmtId="0" fontId="6" fillId="2" borderId="2" xfId="0" applyFont="1" applyFill="1" applyBorder="1" applyAlignment="1">
      <alignment wrapText="1"/>
    </xf>
    <xf numFmtId="0" fontId="3" fillId="0" borderId="8" xfId="0" applyFont="1" applyBorder="1"/>
    <xf numFmtId="0" fontId="2" fillId="0" borderId="8" xfId="0" applyFont="1" applyBorder="1"/>
    <xf numFmtId="0" fontId="3" fillId="0" borderId="11" xfId="0" applyFont="1" applyBorder="1"/>
    <xf numFmtId="0" fontId="3" fillId="0" borderId="12" xfId="0" applyFont="1" applyBorder="1"/>
    <xf numFmtId="20" fontId="3" fillId="0" borderId="0" xfId="0" applyNumberFormat="1" applyFont="1"/>
    <xf numFmtId="20" fontId="3" fillId="0" borderId="12" xfId="0" applyNumberFormat="1" applyFont="1" applyBorder="1"/>
    <xf numFmtId="0" fontId="8" fillId="0" borderId="0" xfId="0" applyFont="1"/>
    <xf numFmtId="0" fontId="9" fillId="0" borderId="0" xfId="0" applyFont="1"/>
    <xf numFmtId="0" fontId="5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5" xfId="0" applyFont="1" applyBorder="1"/>
    <xf numFmtId="0" fontId="8" fillId="0" borderId="10" xfId="0" applyFont="1" applyBorder="1"/>
    <xf numFmtId="0" fontId="5" fillId="0" borderId="9" xfId="0" applyFont="1" applyBorder="1" applyAlignment="1">
      <alignment horizontal="center"/>
    </xf>
    <xf numFmtId="18" fontId="2" fillId="0" borderId="8" xfId="0" applyNumberFormat="1" applyFont="1" applyBorder="1"/>
    <xf numFmtId="0" fontId="9" fillId="0" borderId="5" xfId="0" applyFont="1" applyBorder="1"/>
    <xf numFmtId="0" fontId="10" fillId="0" borderId="5" xfId="0" applyFont="1" applyBorder="1"/>
    <xf numFmtId="0" fontId="10" fillId="0" borderId="10" xfId="0" applyFont="1" applyBorder="1"/>
    <xf numFmtId="0" fontId="9" fillId="0" borderId="4" xfId="0" applyFont="1" applyBorder="1"/>
    <xf numFmtId="0" fontId="10" fillId="0" borderId="9" xfId="0" applyFont="1" applyBorder="1"/>
    <xf numFmtId="0" fontId="5" fillId="0" borderId="13" xfId="0" applyFont="1" applyBorder="1"/>
    <xf numFmtId="0" fontId="10" fillId="0" borderId="4" xfId="0" applyFont="1" applyBorder="1"/>
    <xf numFmtId="0" fontId="3" fillId="3" borderId="4" xfId="0" applyFont="1" applyFill="1" applyBorder="1"/>
    <xf numFmtId="0" fontId="10" fillId="0" borderId="0" xfId="0" applyFont="1"/>
    <xf numFmtId="0" fontId="9" fillId="4" borderId="4" xfId="0" applyFont="1" applyFill="1" applyBorder="1"/>
    <xf numFmtId="0" fontId="10" fillId="4" borderId="5" xfId="0" applyFont="1" applyFill="1" applyBorder="1"/>
    <xf numFmtId="0" fontId="10" fillId="4" borderId="10" xfId="0" applyFont="1" applyFill="1" applyBorder="1"/>
    <xf numFmtId="0" fontId="7" fillId="0" borderId="0" xfId="0" applyFont="1"/>
    <xf numFmtId="0" fontId="5" fillId="0" borderId="1" xfId="0" applyFont="1" applyBorder="1"/>
    <xf numFmtId="0" fontId="11" fillId="0" borderId="0" xfId="0" applyFont="1"/>
    <xf numFmtId="0" fontId="12" fillId="0" borderId="0" xfId="0" applyFont="1"/>
    <xf numFmtId="167" fontId="0" fillId="0" borderId="0" xfId="0" applyNumberFormat="1"/>
    <xf numFmtId="167" fontId="11" fillId="0" borderId="0" xfId="0" applyNumberFormat="1" applyFont="1"/>
    <xf numFmtId="170" fontId="11" fillId="0" borderId="0" xfId="0" applyNumberFormat="1" applyFon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3600" b="0">
                <a:solidFill>
                  <a:schemeClr val="dk1"/>
                </a:solidFill>
                <a:latin typeface="Arial"/>
              </a:defRPr>
            </a:pPr>
            <a:r>
              <a:rPr sz="3600" b="0">
                <a:solidFill>
                  <a:schemeClr val="dk1"/>
                </a:solidFill>
                <a:latin typeface="Arial"/>
              </a:rPr>
              <a:t>Visual Identification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CEB0-964B-A378-0DBA745DEED4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CEB0-964B-A378-0DBA745DEED4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CEB0-964B-A378-0DBA745DEED4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CEB0-964B-A378-0DBA745DEED4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CEB0-964B-A378-0DBA745DEED4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CEB0-964B-A378-0DBA745DEED4}"/>
              </c:ext>
            </c:extLst>
          </c:dPt>
          <c:cat>
            <c:strRef>
              <c:f>'Graphs Anuran Species List'!$A$12:$A$17</c:f>
              <c:strCache>
                <c:ptCount val="6"/>
                <c:pt idx="0">
                  <c:v>Species Name</c:v>
                </c:pt>
                <c:pt idx="1">
                  <c:v>Hyla cinerea</c:v>
                </c:pt>
                <c:pt idx="2">
                  <c:v>Dryophytes chrysoscelis</c:v>
                </c:pt>
                <c:pt idx="3">
                  <c:v>Lithobates clamitans</c:v>
                </c:pt>
                <c:pt idx="4">
                  <c:v>Lithobates catesbeianus</c:v>
                </c:pt>
                <c:pt idx="5">
                  <c:v>Hyla squirella</c:v>
                </c:pt>
              </c:strCache>
            </c:strRef>
          </c:cat>
          <c:val>
            <c:numRef>
              <c:f>'Graphs Anuran Species List'!$D$12:$D$17</c:f>
              <c:numCache>
                <c:formatCode>General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EB0-964B-A378-0DBA745DE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3600" b="1">
                <a:solidFill>
                  <a:srgbClr val="212529"/>
                </a:solidFill>
                <a:latin typeface="Arial"/>
              </a:defRPr>
            </a:pPr>
            <a:r>
              <a:rPr sz="3600" b="1">
                <a:solidFill>
                  <a:srgbClr val="212529"/>
                </a:solidFill>
                <a:latin typeface="Arial"/>
              </a:rPr>
              <a:t>Audio Identification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'Graphs Anuran Species List'!$E$12</c:f>
              <c:strCache>
                <c:ptCount val="1"/>
                <c:pt idx="0">
                  <c:v>Audio Identification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0DE7-E747-8FBA-2F77E634423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3-0DE7-E747-8FBA-2F77E634423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5-0DE7-E747-8FBA-2F77E6344232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7-0DE7-E747-8FBA-2F77E6344232}"/>
              </c:ext>
            </c:extLst>
          </c:dPt>
          <c:dPt>
            <c:idx val="4"/>
            <c:bubble3D val="0"/>
            <c:explosion val="25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9-0DE7-E747-8FBA-2F77E6344232}"/>
              </c:ext>
            </c:extLst>
          </c:dPt>
          <c:cat>
            <c:strRef>
              <c:f>'Graphs Anuran Species List'!$F$13:$F$17</c:f>
              <c:strCache>
                <c:ptCount val="5"/>
                <c:pt idx="0">
                  <c:v>Hyla cinerea</c:v>
                </c:pt>
                <c:pt idx="1">
                  <c:v>Dryophytes chrysoscelis</c:v>
                </c:pt>
                <c:pt idx="2">
                  <c:v>Lithobates clamitans</c:v>
                </c:pt>
                <c:pt idx="3">
                  <c:v>Lithobates catesbeianus</c:v>
                </c:pt>
                <c:pt idx="4">
                  <c:v>Hyla squirella</c:v>
                </c:pt>
              </c:strCache>
            </c:strRef>
          </c:cat>
          <c:val>
            <c:numRef>
              <c:f>'Graphs Anuran Species List'!$E$13:$E$17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DE7-E747-8FBA-2F77E6344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sz="3000" b="0">
              <a:solidFill>
                <a:srgbClr val="212529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Identification of Anurans at Meredith Lake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0000"/>
            </a:solidFill>
            <a:ln cmpd="sng">
              <a:noFill/>
            </a:ln>
          </c:spPr>
          <c:invertIfNegative val="0"/>
          <c:errBars>
            <c:errBarType val="both"/>
            <c:errValType val="percentage"/>
            <c:noEndCap val="0"/>
            <c:val val="10"/>
          </c:errBars>
          <c:cat>
            <c:strRef>
              <c:f>'Graphs Anuran Species List'!$A$65:$A$66</c:f>
              <c:strCache>
                <c:ptCount val="2"/>
                <c:pt idx="0">
                  <c:v>Visual Identification</c:v>
                </c:pt>
                <c:pt idx="1">
                  <c:v>Audio Identification</c:v>
                </c:pt>
              </c:strCache>
            </c:strRef>
          </c:cat>
          <c:val>
            <c:numRef>
              <c:f>'Graphs Anuran Species List'!$B$65:$B$66</c:f>
              <c:numCache>
                <c:formatCode>General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F-7D47-A06A-E3881D2DD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9980171"/>
        <c:axId val="1733484513"/>
      </c:barChart>
      <c:catAx>
        <c:axId val="1579980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3484513"/>
        <c:crosses val="autoZero"/>
        <c:auto val="1"/>
        <c:lblAlgn val="ctr"/>
        <c:lblOffset val="100"/>
        <c:noMultiLvlLbl val="1"/>
      </c:catAx>
      <c:valAx>
        <c:axId val="1733484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Species Identified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99801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3600" b="0">
                <a:solidFill>
                  <a:schemeClr val="dk1"/>
                </a:solidFill>
                <a:latin typeface="Arial"/>
              </a:defRPr>
            </a:pPr>
            <a:r>
              <a:rPr sz="3600" b="0">
                <a:solidFill>
                  <a:schemeClr val="dk1"/>
                </a:solidFill>
                <a:latin typeface="Arial"/>
              </a:rPr>
              <a:t>Visual Identification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9FD8-E349-BB74-AEB498C1C4DE}"/>
              </c:ext>
            </c:extLst>
          </c:dPt>
          <c:dPt>
            <c:idx val="1"/>
            <c:bubble3D val="0"/>
            <c:spPr>
              <a:solidFill>
                <a:srgbClr val="D5A6BD"/>
              </a:solidFill>
            </c:spPr>
            <c:extLst>
              <c:ext xmlns:c16="http://schemas.microsoft.com/office/drawing/2014/chart" uri="{C3380CC4-5D6E-409C-BE32-E72D297353CC}">
                <c16:uniqueId val="{00000003-9FD8-E349-BB74-AEB498C1C4DE}"/>
              </c:ext>
            </c:extLst>
          </c:dPt>
          <c:dPt>
            <c:idx val="2"/>
            <c:bubble3D val="0"/>
            <c:spPr>
              <a:solidFill>
                <a:srgbClr val="A2C4C9"/>
              </a:solidFill>
            </c:spPr>
            <c:extLst>
              <c:ext xmlns:c16="http://schemas.microsoft.com/office/drawing/2014/chart" uri="{C3380CC4-5D6E-409C-BE32-E72D297353CC}">
                <c16:uniqueId val="{00000005-9FD8-E349-BB74-AEB498C1C4DE}"/>
              </c:ext>
            </c:extLst>
          </c:dPt>
          <c:dPt>
            <c:idx val="3"/>
            <c:bubble3D val="0"/>
            <c:spPr>
              <a:solidFill>
                <a:srgbClr val="B6D7A8"/>
              </a:solidFill>
            </c:spPr>
            <c:extLst>
              <c:ext xmlns:c16="http://schemas.microsoft.com/office/drawing/2014/chart" uri="{C3380CC4-5D6E-409C-BE32-E72D297353CC}">
                <c16:uniqueId val="{00000007-9FD8-E349-BB74-AEB498C1C4DE}"/>
              </c:ext>
            </c:extLst>
          </c:dPt>
          <c:dPt>
            <c:idx val="4"/>
            <c:bubble3D val="0"/>
            <c:spPr>
              <a:solidFill>
                <a:srgbClr val="6FA8DC"/>
              </a:solidFill>
            </c:spPr>
            <c:extLst>
              <c:ext xmlns:c16="http://schemas.microsoft.com/office/drawing/2014/chart" uri="{C3380CC4-5D6E-409C-BE32-E72D297353CC}">
                <c16:uniqueId val="{00000009-9FD8-E349-BB74-AEB498C1C4DE}"/>
              </c:ext>
            </c:extLst>
          </c:dPt>
          <c:dPt>
            <c:idx val="5"/>
            <c:bubble3D val="0"/>
            <c:spPr>
              <a:solidFill>
                <a:srgbClr val="990000"/>
              </a:solidFill>
            </c:spPr>
            <c:extLst>
              <c:ext xmlns:c16="http://schemas.microsoft.com/office/drawing/2014/chart" uri="{C3380CC4-5D6E-409C-BE32-E72D297353CC}">
                <c16:uniqueId val="{0000000B-9FD8-E349-BB74-AEB498C1C4DE}"/>
              </c:ext>
            </c:extLst>
          </c:dPt>
          <c:cat>
            <c:strRef>
              <c:f>'Graphs Anuran Species List'!$A$12:$A$17</c:f>
              <c:strCache>
                <c:ptCount val="6"/>
                <c:pt idx="0">
                  <c:v>Species Name</c:v>
                </c:pt>
                <c:pt idx="1">
                  <c:v>Hyla cinerea</c:v>
                </c:pt>
                <c:pt idx="2">
                  <c:v>Dryophytes chrysoscelis</c:v>
                </c:pt>
                <c:pt idx="3">
                  <c:v>Lithobates clamitans</c:v>
                </c:pt>
                <c:pt idx="4">
                  <c:v>Lithobates catesbeianus</c:v>
                </c:pt>
                <c:pt idx="5">
                  <c:v>Hyla squirella</c:v>
                </c:pt>
              </c:strCache>
            </c:strRef>
          </c:cat>
          <c:val>
            <c:numRef>
              <c:f>'Graphs Anuran Species List'!$D$12:$D$17</c:f>
              <c:numCache>
                <c:formatCode>General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FD8-E349-BB74-AEB498C1C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3600" b="1">
                <a:solidFill>
                  <a:srgbClr val="212529"/>
                </a:solidFill>
                <a:latin typeface="Arial"/>
              </a:defRPr>
            </a:pPr>
            <a:r>
              <a:rPr sz="3600" b="1">
                <a:solidFill>
                  <a:srgbClr val="212529"/>
                </a:solidFill>
                <a:latin typeface="Arial"/>
              </a:rPr>
              <a:t>Audio Identification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'Graphs Anuran Species List'!$E$12</c:f>
              <c:strCache>
                <c:ptCount val="1"/>
                <c:pt idx="0">
                  <c:v>Audio Identification</c:v>
                </c:pt>
              </c:strCache>
            </c:strRef>
          </c:tx>
          <c:dPt>
            <c:idx val="0"/>
            <c:bubble3D val="0"/>
            <c:spPr>
              <a:solidFill>
                <a:srgbClr val="D5A6BD"/>
              </a:solidFill>
            </c:spPr>
            <c:extLst>
              <c:ext xmlns:c16="http://schemas.microsoft.com/office/drawing/2014/chart" uri="{C3380CC4-5D6E-409C-BE32-E72D297353CC}">
                <c16:uniqueId val="{00000001-13B0-4D4B-BC67-6AF99FC953C1}"/>
              </c:ext>
            </c:extLst>
          </c:dPt>
          <c:dPt>
            <c:idx val="1"/>
            <c:bubble3D val="0"/>
            <c:spPr>
              <a:solidFill>
                <a:srgbClr val="A4C2F4"/>
              </a:solidFill>
            </c:spPr>
            <c:extLst>
              <c:ext xmlns:c16="http://schemas.microsoft.com/office/drawing/2014/chart" uri="{C3380CC4-5D6E-409C-BE32-E72D297353CC}">
                <c16:uniqueId val="{00000003-13B0-4D4B-BC67-6AF99FC953C1}"/>
              </c:ext>
            </c:extLst>
          </c:dPt>
          <c:dPt>
            <c:idx val="2"/>
            <c:bubble3D val="0"/>
            <c:spPr>
              <a:solidFill>
                <a:srgbClr val="6D9EEB"/>
              </a:solidFill>
            </c:spPr>
            <c:extLst>
              <c:ext xmlns:c16="http://schemas.microsoft.com/office/drawing/2014/chart" uri="{C3380CC4-5D6E-409C-BE32-E72D297353CC}">
                <c16:uniqueId val="{00000005-13B0-4D4B-BC67-6AF99FC953C1}"/>
              </c:ext>
            </c:extLst>
          </c:dPt>
          <c:dPt>
            <c:idx val="3"/>
            <c:bubble3D val="0"/>
            <c:spPr>
              <a:solidFill>
                <a:srgbClr val="B6D7A8"/>
              </a:solidFill>
            </c:spPr>
            <c:extLst>
              <c:ext xmlns:c16="http://schemas.microsoft.com/office/drawing/2014/chart" uri="{C3380CC4-5D6E-409C-BE32-E72D297353CC}">
                <c16:uniqueId val="{00000007-13B0-4D4B-BC67-6AF99FC953C1}"/>
              </c:ext>
            </c:extLst>
          </c:dPt>
          <c:dPt>
            <c:idx val="4"/>
            <c:bubble3D val="0"/>
            <c:explosion val="25"/>
            <c:spPr>
              <a:solidFill>
                <a:srgbClr val="990000"/>
              </a:solidFill>
            </c:spPr>
            <c:extLst>
              <c:ext xmlns:c16="http://schemas.microsoft.com/office/drawing/2014/chart" uri="{C3380CC4-5D6E-409C-BE32-E72D297353CC}">
                <c16:uniqueId val="{00000009-13B0-4D4B-BC67-6AF99FC953C1}"/>
              </c:ext>
            </c:extLst>
          </c:dPt>
          <c:cat>
            <c:strRef>
              <c:f>'Graphs Anuran Species List'!$F$13:$F$17</c:f>
              <c:strCache>
                <c:ptCount val="5"/>
                <c:pt idx="0">
                  <c:v>Hyla cinerea</c:v>
                </c:pt>
                <c:pt idx="1">
                  <c:v>Dryophytes chrysoscelis</c:v>
                </c:pt>
                <c:pt idx="2">
                  <c:v>Lithobates clamitans</c:v>
                </c:pt>
                <c:pt idx="3">
                  <c:v>Lithobates catesbeianus</c:v>
                </c:pt>
                <c:pt idx="4">
                  <c:v>Hyla squirella</c:v>
                </c:pt>
              </c:strCache>
            </c:strRef>
          </c:cat>
          <c:val>
            <c:numRef>
              <c:f>'Graphs Anuran Species List'!$E$13:$E$17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3B0-4D4B-BC67-6AF99FC95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sz="3000" b="0">
              <a:solidFill>
                <a:srgbClr val="212529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Total Time Frogs Called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'Graphs Fall 2025'!$A$3</c:f>
              <c:strCache>
                <c:ptCount val="1"/>
                <c:pt idx="0">
                  <c:v>Retention pond - reedy marshy</c:v>
                </c:pt>
              </c:strCache>
            </c:strRef>
          </c:tx>
          <c:spPr>
            <a:solidFill>
              <a:srgbClr val="EA9999"/>
            </a:solidFill>
            <a:ln cmpd="sng">
              <a:noFill/>
            </a:ln>
          </c:spPr>
          <c:invertIfNegative val="0"/>
          <c:errBars>
            <c:errBarType val="both"/>
            <c:errValType val="percentage"/>
            <c:noEndCap val="0"/>
            <c:val val="10"/>
          </c:errBars>
          <c:cat>
            <c:strRef>
              <c:f>'Graphs Fall 2025'!$B$2:$F$2</c:f>
              <c:strCache>
                <c:ptCount val="5"/>
                <c:pt idx="0">
                  <c:v>Squirrel treefrog</c:v>
                </c:pt>
                <c:pt idx="1">
                  <c:v>Green treefrog</c:v>
                </c:pt>
                <c:pt idx="2">
                  <c:v>Cope's Gray treefrog</c:v>
                </c:pt>
                <c:pt idx="3">
                  <c:v>Bullfrog</c:v>
                </c:pt>
                <c:pt idx="4">
                  <c:v>Green frog</c:v>
                </c:pt>
              </c:strCache>
            </c:strRef>
          </c:cat>
          <c:val>
            <c:numRef>
              <c:f>'Graphs Fall 2025'!$B$3:$F$3</c:f>
              <c:numCache>
                <c:formatCode>General</c:formatCode>
                <c:ptCount val="5"/>
                <c:pt idx="0">
                  <c:v>42</c:v>
                </c:pt>
                <c:pt idx="1">
                  <c:v>30</c:v>
                </c:pt>
                <c:pt idx="2">
                  <c:v>37</c:v>
                </c:pt>
                <c:pt idx="3">
                  <c:v>1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2-AF43-8954-954E151F8DDD}"/>
            </c:ext>
          </c:extLst>
        </c:ser>
        <c:ser>
          <c:idx val="1"/>
          <c:order val="1"/>
          <c:tx>
            <c:strRef>
              <c:f>'Graphs Fall 2025'!$A$4</c:f>
              <c:strCache>
                <c:ptCount val="1"/>
                <c:pt idx="0">
                  <c:v>Micropond - small pond</c:v>
                </c:pt>
              </c:strCache>
            </c:strRef>
          </c:tx>
          <c:spPr>
            <a:solidFill>
              <a:srgbClr val="990000"/>
            </a:solidFill>
            <a:ln cmpd="sng">
              <a:noFill/>
            </a:ln>
          </c:spPr>
          <c:invertIfNegative val="0"/>
          <c:errBars>
            <c:errBarType val="both"/>
            <c:errValType val="percentage"/>
            <c:noEndCap val="0"/>
            <c:val val="10"/>
          </c:errBars>
          <c:cat>
            <c:strRef>
              <c:f>'Graphs Fall 2025'!$B$2:$F$2</c:f>
              <c:strCache>
                <c:ptCount val="5"/>
                <c:pt idx="0">
                  <c:v>Squirrel treefrog</c:v>
                </c:pt>
                <c:pt idx="1">
                  <c:v>Green treefrog</c:v>
                </c:pt>
                <c:pt idx="2">
                  <c:v>Cope's Gray treefrog</c:v>
                </c:pt>
                <c:pt idx="3">
                  <c:v>Bullfrog</c:v>
                </c:pt>
                <c:pt idx="4">
                  <c:v>Green frog</c:v>
                </c:pt>
              </c:strCache>
            </c:strRef>
          </c:cat>
          <c:val>
            <c:numRef>
              <c:f>'Graphs Fall 2025'!$B$4:$F$4</c:f>
              <c:numCache>
                <c:formatCode>General</c:formatCode>
                <c:ptCount val="5"/>
                <c:pt idx="0">
                  <c:v>14</c:v>
                </c:pt>
                <c:pt idx="1">
                  <c:v>5</c:v>
                </c:pt>
                <c:pt idx="2">
                  <c:v>25</c:v>
                </c:pt>
                <c:pt idx="3">
                  <c:v>103</c:v>
                </c:pt>
                <c:pt idx="4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02-AF43-8954-954E151F8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934281"/>
        <c:axId val="933296735"/>
      </c:barChart>
      <c:catAx>
        <c:axId val="172934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3296735"/>
        <c:crosses val="autoZero"/>
        <c:auto val="1"/>
        <c:lblAlgn val="ctr"/>
        <c:lblOffset val="100"/>
        <c:noMultiLvlLbl val="1"/>
      </c:catAx>
      <c:valAx>
        <c:axId val="933296735"/>
        <c:scaling>
          <c:orientation val="minMax"/>
          <c:max val="35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(minutes)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9342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Calls at the Retention Pond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'Graphs Fall 2025'!$J$2</c:f>
              <c:strCache>
                <c:ptCount val="1"/>
                <c:pt idx="0">
                  <c:v>Cope's Gray treefrog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numRef>
              <c:f>'Graphs Fall 2025'!$I$3:$I$26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'Graphs Fall 2025'!$J$3:$J$26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7-3049-AD60-552357ED4F87}"/>
            </c:ext>
          </c:extLst>
        </c:ser>
        <c:ser>
          <c:idx val="1"/>
          <c:order val="1"/>
          <c:tx>
            <c:strRef>
              <c:f>'Graphs Fall 2025'!$K$2</c:f>
              <c:strCache>
                <c:ptCount val="1"/>
                <c:pt idx="0">
                  <c:v>Green treefrog</c:v>
                </c:pt>
              </c:strCache>
            </c:strRef>
          </c:tx>
          <c:spPr>
            <a:solidFill>
              <a:srgbClr val="CC0000"/>
            </a:solidFill>
            <a:ln cmpd="sng">
              <a:noFill/>
            </a:ln>
          </c:spPr>
          <c:invertIfNegative val="0"/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4057-3049-AD60-552357ED4F87}"/>
              </c:ext>
            </c:extLst>
          </c:dPt>
          <c:cat>
            <c:numRef>
              <c:f>'Graphs Fall 2025'!$I$3:$I$26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'Graphs Fall 2025'!$K$3:$K$26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57-3049-AD60-552357ED4F87}"/>
            </c:ext>
          </c:extLst>
        </c:ser>
        <c:ser>
          <c:idx val="2"/>
          <c:order val="2"/>
          <c:tx>
            <c:strRef>
              <c:f>'Graphs Fall 2025'!$L$2</c:f>
              <c:strCache>
                <c:ptCount val="1"/>
                <c:pt idx="0">
                  <c:v>Squirrel treefrog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numRef>
              <c:f>'Graphs Fall 2025'!$I$3:$I$26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'Graphs Fall 2025'!$L$3:$L$26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57-3049-AD60-552357ED4F87}"/>
            </c:ext>
          </c:extLst>
        </c:ser>
        <c:ser>
          <c:idx val="3"/>
          <c:order val="3"/>
          <c:tx>
            <c:strRef>
              <c:f>'Graphs Fall 2025'!$M$2</c:f>
              <c:strCache>
                <c:ptCount val="1"/>
                <c:pt idx="0">
                  <c:v>Bullfrog</c:v>
                </c:pt>
              </c:strCache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numRef>
              <c:f>'Graphs Fall 2025'!$I$3:$I$26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'Graphs Fall 2025'!$M$3:$M$26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57-3049-AD60-552357ED4F87}"/>
            </c:ext>
          </c:extLst>
        </c:ser>
        <c:ser>
          <c:idx val="4"/>
          <c:order val="4"/>
          <c:tx>
            <c:strRef>
              <c:f>'Graphs Fall 2025'!$N$2</c:f>
              <c:strCache>
                <c:ptCount val="1"/>
                <c:pt idx="0">
                  <c:v>Green frog</c:v>
                </c:pt>
              </c:strCache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numRef>
              <c:f>'Graphs Fall 2025'!$I$3:$I$26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'Graphs Fall 2025'!$N$3:$N$26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57-3049-AD60-552357ED4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1676694"/>
        <c:axId val="869674707"/>
      </c:barChart>
      <c:catAx>
        <c:axId val="661676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 of day Retention</a:t>
                </a:r>
              </a:p>
            </c:rich>
          </c:tx>
          <c:overlay val="0"/>
        </c:title>
        <c:numFmt formatCode="h: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9674707"/>
        <c:crosses val="autoZero"/>
        <c:auto val="1"/>
        <c:lblAlgn val="ctr"/>
        <c:lblOffset val="100"/>
        <c:noMultiLvlLbl val="1"/>
      </c:catAx>
      <c:valAx>
        <c:axId val="869674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species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16766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Calls at the Micropond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'Graphs Fall 2025'!$P$2</c:f>
              <c:strCache>
                <c:ptCount val="1"/>
                <c:pt idx="0">
                  <c:v>Cope's Gray treefrog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numRef>
              <c:f>'Graphs Fall 2025'!$O$3:$O$26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'Graphs Fall 2025'!$P$3:$P$26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E-DB4F-B4C2-EAA7F7ADA41C}"/>
            </c:ext>
          </c:extLst>
        </c:ser>
        <c:ser>
          <c:idx val="1"/>
          <c:order val="1"/>
          <c:tx>
            <c:strRef>
              <c:f>'Graphs Fall 2025'!$Q$2</c:f>
              <c:strCache>
                <c:ptCount val="1"/>
                <c:pt idx="0">
                  <c:v>Green treefrog</c:v>
                </c:pt>
              </c:strCache>
            </c:strRef>
          </c:tx>
          <c:spPr>
            <a:solidFill>
              <a:srgbClr val="CC0000"/>
            </a:solidFill>
            <a:ln cmpd="sng">
              <a:noFill/>
            </a:ln>
          </c:spPr>
          <c:invertIfNegative val="0"/>
          <c:cat>
            <c:numRef>
              <c:f>'Graphs Fall 2025'!$O$3:$O$26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'Graphs Fall 2025'!$Q$3:$Q$26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7E-DB4F-B4C2-EAA7F7ADA41C}"/>
            </c:ext>
          </c:extLst>
        </c:ser>
        <c:ser>
          <c:idx val="2"/>
          <c:order val="2"/>
          <c:tx>
            <c:strRef>
              <c:f>'Graphs Fall 2025'!$R$2</c:f>
              <c:strCache>
                <c:ptCount val="1"/>
                <c:pt idx="0">
                  <c:v>Squirrel treefrog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numRef>
              <c:f>'Graphs Fall 2025'!$O$3:$O$26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'Graphs Fall 2025'!$R$3:$R$26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7E-DB4F-B4C2-EAA7F7ADA41C}"/>
            </c:ext>
          </c:extLst>
        </c:ser>
        <c:ser>
          <c:idx val="3"/>
          <c:order val="3"/>
          <c:tx>
            <c:strRef>
              <c:f>'Graphs Fall 2025'!$S$2</c:f>
              <c:strCache>
                <c:ptCount val="1"/>
                <c:pt idx="0">
                  <c:v>Bullfrog</c:v>
                </c:pt>
              </c:strCache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numRef>
              <c:f>'Graphs Fall 2025'!$O$3:$O$26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'Graphs Fall 2025'!$S$3:$S$26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7E-DB4F-B4C2-EAA7F7ADA41C}"/>
            </c:ext>
          </c:extLst>
        </c:ser>
        <c:ser>
          <c:idx val="4"/>
          <c:order val="4"/>
          <c:tx>
            <c:strRef>
              <c:f>'Graphs Fall 2025'!$T$2</c:f>
              <c:strCache>
                <c:ptCount val="1"/>
                <c:pt idx="0">
                  <c:v>Green frog</c:v>
                </c:pt>
              </c:strCache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numRef>
              <c:f>'Graphs Fall 2025'!$O$3:$O$26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'Graphs Fall 2025'!$T$3:$T$26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7E-DB4F-B4C2-EAA7F7AD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7649879"/>
        <c:axId val="1443021643"/>
      </c:barChart>
      <c:catAx>
        <c:axId val="777649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 of day Retention</a:t>
                </a:r>
              </a:p>
            </c:rich>
          </c:tx>
          <c:overlay val="0"/>
        </c:title>
        <c:numFmt formatCode="h: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3021643"/>
        <c:crosses val="autoZero"/>
        <c:auto val="1"/>
        <c:lblAlgn val="ctr"/>
        <c:lblOffset val="100"/>
        <c:noMultiLvlLbl val="1"/>
      </c:catAx>
      <c:valAx>
        <c:axId val="14430216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species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76498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447675</xdr:colOff>
      <xdr:row>19</xdr:row>
      <xdr:rowOff>66675</xdr:rowOff>
    </xdr:from>
    <xdr:ext cx="5638800" cy="32099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37</xdr:row>
      <xdr:rowOff>9525</xdr:rowOff>
    </xdr:from>
    <xdr:ext cx="8191500" cy="50673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104775</xdr:colOff>
      <xdr:row>67</xdr:row>
      <xdr:rowOff>28575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447675</xdr:colOff>
      <xdr:row>23</xdr:row>
      <xdr:rowOff>66675</xdr:rowOff>
    </xdr:from>
    <xdr:ext cx="5638800" cy="320992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7</xdr:col>
      <xdr:colOff>0</xdr:colOff>
      <xdr:row>41</xdr:row>
      <xdr:rowOff>9525</xdr:rowOff>
    </xdr:from>
    <xdr:ext cx="8191500" cy="5067300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5</xdr:row>
      <xdr:rowOff>0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866775</xdr:colOff>
      <xdr:row>27</xdr:row>
      <xdr:rowOff>38100</xdr:rowOff>
    </xdr:from>
    <xdr:ext cx="5715000" cy="353377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733425</xdr:colOff>
      <xdr:row>27</xdr:row>
      <xdr:rowOff>85725</xdr:rowOff>
    </xdr:from>
    <xdr:ext cx="5715000" cy="35337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16"/>
  <sheetViews>
    <sheetView workbookViewId="0">
      <pane ySplit="1" topLeftCell="A2" activePane="bottomLeft" state="frozen"/>
      <selection pane="bottomLeft" activeCell="B3" sqref="A1:I615"/>
    </sheetView>
  </sheetViews>
  <sheetFormatPr baseColWidth="10" defaultColWidth="12.6640625" defaultRowHeight="15.75" customHeight="1" x14ac:dyDescent="0.15"/>
  <cols>
    <col min="1" max="1" width="17.33203125" customWidth="1"/>
    <col min="2" max="2" width="16.6640625" customWidth="1"/>
    <col min="3" max="3" width="15.6640625" customWidth="1"/>
    <col min="7" max="8" width="19" customWidth="1"/>
    <col min="9" max="9" width="12.6640625" customWidth="1"/>
  </cols>
  <sheetData>
    <row r="1" spans="1:9" ht="15.75" customHeight="1" x14ac:dyDescent="0.15">
      <c r="A1" s="1" t="s">
        <v>0</v>
      </c>
      <c r="B1" s="1" t="s">
        <v>3</v>
      </c>
      <c r="C1" s="1" t="s">
        <v>4</v>
      </c>
      <c r="D1" s="1" t="s">
        <v>5</v>
      </c>
      <c r="E1" s="5" t="s">
        <v>6</v>
      </c>
      <c r="F1" s="5" t="s">
        <v>8</v>
      </c>
      <c r="G1" s="5" t="s">
        <v>10</v>
      </c>
      <c r="H1" s="5" t="s">
        <v>13</v>
      </c>
      <c r="I1" s="5" t="s">
        <v>17</v>
      </c>
    </row>
    <row r="2" spans="1:9" ht="15.75" customHeight="1" x14ac:dyDescent="0.15">
      <c r="A2" s="6" t="s">
        <v>20</v>
      </c>
      <c r="B2" s="6" t="s">
        <v>23</v>
      </c>
      <c r="C2" s="8">
        <v>0</v>
      </c>
      <c r="D2" s="9">
        <v>45813</v>
      </c>
      <c r="E2" s="10">
        <v>0.54166666666666663</v>
      </c>
      <c r="F2" s="8">
        <v>1</v>
      </c>
      <c r="G2" s="11"/>
      <c r="H2" s="11" t="s">
        <v>29</v>
      </c>
      <c r="I2" s="6">
        <v>2</v>
      </c>
    </row>
    <row r="3" spans="1:9" ht="15.75" customHeight="1" x14ac:dyDescent="0.15">
      <c r="A3" s="6"/>
      <c r="B3" s="1" t="s">
        <v>32</v>
      </c>
      <c r="C3" s="17">
        <f>C2</f>
        <v>0</v>
      </c>
      <c r="D3" s="18"/>
      <c r="E3" s="19"/>
      <c r="F3" s="17">
        <f>F2</f>
        <v>1</v>
      </c>
      <c r="G3" s="21">
        <f>COUNT(F2)</f>
        <v>1</v>
      </c>
      <c r="H3" s="21"/>
      <c r="I3" s="1"/>
    </row>
    <row r="4" spans="1:9" ht="15.75" customHeight="1" x14ac:dyDescent="0.15">
      <c r="A4" s="22" t="s">
        <v>20</v>
      </c>
      <c r="B4" s="22" t="s">
        <v>23</v>
      </c>
      <c r="C4" s="23">
        <v>0</v>
      </c>
      <c r="D4" s="13">
        <v>45814</v>
      </c>
      <c r="E4" s="14">
        <v>0</v>
      </c>
      <c r="F4" s="23">
        <v>1</v>
      </c>
      <c r="G4" s="15"/>
      <c r="H4" s="15" t="s">
        <v>29</v>
      </c>
      <c r="I4" s="22">
        <v>3</v>
      </c>
    </row>
    <row r="5" spans="1:9" ht="15.75" customHeight="1" x14ac:dyDescent="0.15">
      <c r="A5" s="6"/>
      <c r="B5" s="6"/>
      <c r="C5" s="8">
        <v>0</v>
      </c>
      <c r="D5" s="9"/>
      <c r="E5" s="10">
        <v>4.1666666666666664E-2</v>
      </c>
      <c r="F5" s="6">
        <v>1</v>
      </c>
      <c r="G5" s="11"/>
      <c r="H5" s="11"/>
      <c r="I5" s="6">
        <v>1</v>
      </c>
    </row>
    <row r="6" spans="1:9" ht="15.75" customHeight="1" x14ac:dyDescent="0.15">
      <c r="A6" s="6"/>
      <c r="B6" s="6"/>
      <c r="C6" s="8">
        <v>0</v>
      </c>
      <c r="D6" s="9"/>
      <c r="E6" s="10">
        <v>4.2361111111111113E-2</v>
      </c>
      <c r="F6" s="6">
        <v>0</v>
      </c>
      <c r="G6" s="11"/>
      <c r="H6" s="11"/>
      <c r="I6" s="6">
        <v>1</v>
      </c>
    </row>
    <row r="7" spans="1:9" ht="15.75" customHeight="1" x14ac:dyDescent="0.15">
      <c r="A7" s="6"/>
      <c r="B7" s="6"/>
      <c r="C7" s="8">
        <v>0</v>
      </c>
      <c r="D7" s="9"/>
      <c r="E7" s="10">
        <v>4.3055555555555555E-2</v>
      </c>
      <c r="F7" s="6">
        <v>0</v>
      </c>
      <c r="G7" s="11"/>
      <c r="H7" s="11"/>
      <c r="I7" s="6">
        <v>3</v>
      </c>
    </row>
    <row r="8" spans="1:9" ht="15.75" customHeight="1" x14ac:dyDescent="0.15">
      <c r="A8" s="6"/>
      <c r="B8" s="6"/>
      <c r="C8" s="8">
        <v>0</v>
      </c>
      <c r="D8" s="9"/>
      <c r="E8" s="10">
        <v>4.3749999999999997E-2</v>
      </c>
      <c r="F8" s="6">
        <v>0</v>
      </c>
      <c r="G8" s="11"/>
      <c r="H8" s="11"/>
      <c r="I8" s="6">
        <v>2</v>
      </c>
    </row>
    <row r="9" spans="1:9" ht="15.75" customHeight="1" x14ac:dyDescent="0.15">
      <c r="A9" s="6"/>
      <c r="B9" s="6"/>
      <c r="C9" s="8">
        <v>0</v>
      </c>
      <c r="D9" s="9"/>
      <c r="E9" s="10">
        <v>4.4444444444444446E-2</v>
      </c>
      <c r="F9" s="6">
        <v>0</v>
      </c>
      <c r="G9" s="11"/>
      <c r="H9" s="11"/>
      <c r="I9" s="6">
        <v>1</v>
      </c>
    </row>
    <row r="10" spans="1:9" ht="15.75" customHeight="1" x14ac:dyDescent="0.15">
      <c r="A10" s="6"/>
      <c r="B10" s="6"/>
      <c r="C10" s="8">
        <v>0</v>
      </c>
      <c r="D10" s="9"/>
      <c r="E10" s="10">
        <v>8.3333333333333329E-2</v>
      </c>
      <c r="F10" s="6">
        <v>1</v>
      </c>
      <c r="G10" s="11"/>
      <c r="H10" s="11"/>
      <c r="I10" s="6">
        <v>1</v>
      </c>
    </row>
    <row r="11" spans="1:9" ht="15.75" customHeight="1" x14ac:dyDescent="0.15">
      <c r="A11" s="6"/>
      <c r="B11" s="6"/>
      <c r="C11" s="8">
        <v>0</v>
      </c>
      <c r="D11" s="9"/>
      <c r="E11" s="10">
        <v>0.125</v>
      </c>
      <c r="F11" s="6">
        <v>1</v>
      </c>
      <c r="G11" s="11"/>
      <c r="H11" s="11"/>
      <c r="I11" s="6">
        <v>1</v>
      </c>
    </row>
    <row r="12" spans="1:9" ht="15.75" customHeight="1" x14ac:dyDescent="0.15">
      <c r="A12" s="6"/>
      <c r="B12" s="6"/>
      <c r="C12" s="8">
        <v>0</v>
      </c>
      <c r="D12" s="9"/>
      <c r="E12" s="10">
        <v>0.16805555555555557</v>
      </c>
      <c r="F12" s="6">
        <v>1</v>
      </c>
      <c r="G12" s="11"/>
      <c r="H12" s="11"/>
      <c r="I12" s="6">
        <v>1</v>
      </c>
    </row>
    <row r="13" spans="1:9" ht="15.75" customHeight="1" x14ac:dyDescent="0.15">
      <c r="A13" s="6"/>
      <c r="B13" s="6"/>
      <c r="C13" s="6">
        <v>0</v>
      </c>
      <c r="D13" s="9"/>
      <c r="E13" s="10">
        <v>0.16875000000000001</v>
      </c>
      <c r="F13" s="6">
        <v>0</v>
      </c>
      <c r="G13" s="11"/>
      <c r="H13" s="11"/>
      <c r="I13" s="6">
        <v>2</v>
      </c>
    </row>
    <row r="14" spans="1:9" ht="15.75" customHeight="1" x14ac:dyDescent="0.15">
      <c r="A14" s="6"/>
      <c r="B14" s="6"/>
      <c r="C14" s="6">
        <v>0</v>
      </c>
      <c r="D14" s="9"/>
      <c r="E14" s="10">
        <v>0.16944444444444445</v>
      </c>
      <c r="F14" s="6">
        <v>0</v>
      </c>
      <c r="G14" s="11"/>
      <c r="H14" s="11"/>
      <c r="I14" s="6">
        <v>3</v>
      </c>
    </row>
    <row r="15" spans="1:9" ht="15.75" customHeight="1" x14ac:dyDescent="0.15">
      <c r="A15" s="6"/>
      <c r="B15" s="6"/>
      <c r="C15" s="6">
        <v>0</v>
      </c>
      <c r="D15" s="9"/>
      <c r="E15" s="10">
        <v>0.20972222222222223</v>
      </c>
      <c r="F15" s="6">
        <v>1</v>
      </c>
      <c r="G15" s="11"/>
      <c r="H15" s="11"/>
      <c r="I15" s="6">
        <v>3</v>
      </c>
    </row>
    <row r="16" spans="1:9" ht="15.75" customHeight="1" x14ac:dyDescent="0.15">
      <c r="A16" s="6"/>
      <c r="B16" s="6"/>
      <c r="C16" s="6">
        <v>0</v>
      </c>
      <c r="D16" s="9"/>
      <c r="E16" s="10">
        <v>0.21041666666666667</v>
      </c>
      <c r="F16" s="6">
        <v>0</v>
      </c>
      <c r="G16" s="11"/>
      <c r="H16" s="11"/>
      <c r="I16" s="6">
        <v>3</v>
      </c>
    </row>
    <row r="17" spans="1:9" ht="15.75" customHeight="1" x14ac:dyDescent="0.15">
      <c r="A17" s="6"/>
      <c r="B17" s="6"/>
      <c r="C17" s="6">
        <v>0</v>
      </c>
      <c r="D17" s="9"/>
      <c r="E17" s="10">
        <v>0.87569444444444444</v>
      </c>
      <c r="F17" s="8">
        <v>1</v>
      </c>
      <c r="G17" s="6"/>
      <c r="H17" s="6"/>
      <c r="I17" s="6">
        <v>1</v>
      </c>
    </row>
    <row r="18" spans="1:9" ht="15.75" customHeight="1" x14ac:dyDescent="0.15">
      <c r="A18" s="6"/>
      <c r="B18" s="6"/>
      <c r="C18" s="6">
        <v>0</v>
      </c>
      <c r="D18" s="9"/>
      <c r="E18" s="10">
        <v>0.87638888888888888</v>
      </c>
      <c r="F18" s="6">
        <v>0</v>
      </c>
      <c r="G18" s="6"/>
      <c r="H18" s="6"/>
      <c r="I18" s="6">
        <v>1</v>
      </c>
    </row>
    <row r="19" spans="1:9" ht="15.75" customHeight="1" x14ac:dyDescent="0.15">
      <c r="A19" s="6"/>
      <c r="B19" s="6"/>
      <c r="C19" s="6">
        <v>0</v>
      </c>
      <c r="D19" s="9"/>
      <c r="E19" s="10">
        <v>0.91666666666666663</v>
      </c>
      <c r="F19" s="6">
        <v>1</v>
      </c>
      <c r="G19" s="6"/>
      <c r="H19" s="6"/>
      <c r="I19" s="6">
        <v>2</v>
      </c>
    </row>
    <row r="20" spans="1:9" ht="15.75" customHeight="1" x14ac:dyDescent="0.15">
      <c r="A20" s="6"/>
      <c r="B20" s="6"/>
      <c r="C20" s="6">
        <v>0</v>
      </c>
      <c r="D20" s="9"/>
      <c r="E20" s="10">
        <v>0.91736111111111107</v>
      </c>
      <c r="F20" s="6">
        <v>0</v>
      </c>
      <c r="G20" s="6"/>
      <c r="H20" s="6"/>
      <c r="I20" s="6">
        <v>3</v>
      </c>
    </row>
    <row r="21" spans="1:9" ht="15.75" customHeight="1" x14ac:dyDescent="0.15">
      <c r="A21" s="5"/>
      <c r="B21" s="5"/>
      <c r="C21" s="6">
        <v>0</v>
      </c>
      <c r="D21" s="9"/>
      <c r="E21" s="10">
        <v>0.91805555555555551</v>
      </c>
      <c r="F21" s="6">
        <v>0</v>
      </c>
      <c r="G21" s="6"/>
      <c r="H21" s="6"/>
      <c r="I21" s="6">
        <v>3</v>
      </c>
    </row>
    <row r="22" spans="1:9" ht="15.75" customHeight="1" x14ac:dyDescent="0.15">
      <c r="A22" s="6"/>
      <c r="B22" s="6"/>
      <c r="C22" s="6">
        <v>0</v>
      </c>
      <c r="D22" s="9"/>
      <c r="E22" s="24">
        <v>0.91874999999999996</v>
      </c>
      <c r="F22" s="6">
        <v>0</v>
      </c>
      <c r="G22" s="6"/>
      <c r="H22" s="6"/>
      <c r="I22" s="6">
        <v>3</v>
      </c>
    </row>
    <row r="23" spans="1:9" ht="15.75" customHeight="1" x14ac:dyDescent="0.15">
      <c r="A23" s="6"/>
      <c r="B23" s="6"/>
      <c r="C23" s="6">
        <v>0</v>
      </c>
      <c r="D23" s="9"/>
      <c r="E23" s="24">
        <v>0.9194444444444444</v>
      </c>
      <c r="F23" s="6">
        <v>0</v>
      </c>
      <c r="G23" s="6"/>
      <c r="H23" s="6"/>
      <c r="I23" s="6">
        <v>3</v>
      </c>
    </row>
    <row r="24" spans="1:9" ht="15.75" customHeight="1" x14ac:dyDescent="0.15">
      <c r="A24" s="6"/>
      <c r="B24" s="6"/>
      <c r="C24" s="6">
        <v>0</v>
      </c>
      <c r="D24" s="9"/>
      <c r="E24" s="10">
        <v>0.95833333333333337</v>
      </c>
      <c r="F24" s="6">
        <v>1</v>
      </c>
      <c r="G24" s="6"/>
      <c r="H24" s="6"/>
      <c r="I24" s="6">
        <v>3</v>
      </c>
    </row>
    <row r="25" spans="1:9" ht="15.75" customHeight="1" x14ac:dyDescent="0.15">
      <c r="A25" s="6"/>
      <c r="B25" s="6"/>
      <c r="C25" s="6">
        <v>0</v>
      </c>
      <c r="D25" s="9"/>
      <c r="E25" s="24">
        <v>0.95902777777777781</v>
      </c>
      <c r="F25" s="6">
        <v>0</v>
      </c>
      <c r="G25" s="6"/>
      <c r="H25" s="6"/>
      <c r="I25" s="6">
        <v>3</v>
      </c>
    </row>
    <row r="26" spans="1:9" ht="15.75" customHeight="1" x14ac:dyDescent="0.15">
      <c r="A26" s="6"/>
      <c r="B26" s="6"/>
      <c r="C26" s="6">
        <v>0</v>
      </c>
      <c r="D26" s="9"/>
      <c r="E26" s="24">
        <v>0.95972222222222225</v>
      </c>
      <c r="F26" s="6">
        <v>0</v>
      </c>
      <c r="G26" s="6"/>
      <c r="H26" s="6"/>
      <c r="I26" s="6">
        <v>3</v>
      </c>
    </row>
    <row r="27" spans="1:9" ht="15.75" customHeight="1" x14ac:dyDescent="0.15">
      <c r="A27" s="6"/>
      <c r="B27" s="6"/>
      <c r="C27" s="6">
        <v>0</v>
      </c>
      <c r="D27" s="9"/>
      <c r="E27" s="24">
        <v>0.9604166666666667</v>
      </c>
      <c r="F27" s="6">
        <v>0</v>
      </c>
      <c r="G27" s="6"/>
      <c r="H27" s="6"/>
      <c r="I27" s="6">
        <v>3</v>
      </c>
    </row>
    <row r="28" spans="1:9" ht="15.75" customHeight="1" x14ac:dyDescent="0.15">
      <c r="A28" s="6"/>
      <c r="B28" s="6"/>
      <c r="C28" s="6">
        <v>0</v>
      </c>
      <c r="D28" s="9"/>
      <c r="E28" s="24">
        <v>0.96111111111111114</v>
      </c>
      <c r="F28" s="6">
        <v>0</v>
      </c>
      <c r="G28" s="6"/>
      <c r="H28" s="6"/>
      <c r="I28" s="6">
        <v>3</v>
      </c>
    </row>
    <row r="29" spans="1:9" ht="15.75" customHeight="1" x14ac:dyDescent="0.15">
      <c r="A29" s="25"/>
      <c r="B29" s="26" t="s">
        <v>51</v>
      </c>
      <c r="C29" s="26">
        <f>SUM(C4:C28)</f>
        <v>0</v>
      </c>
      <c r="D29" s="26"/>
      <c r="E29" s="27"/>
      <c r="F29" s="26">
        <f>SUM(F4:F28)</f>
        <v>9</v>
      </c>
      <c r="G29" s="26">
        <f>COUNT(F4:F28)</f>
        <v>25</v>
      </c>
      <c r="H29" s="26"/>
      <c r="I29" s="26"/>
    </row>
    <row r="30" spans="1:9" ht="15.75" customHeight="1" x14ac:dyDescent="0.15">
      <c r="A30" s="22" t="s">
        <v>20</v>
      </c>
      <c r="B30" s="22" t="s">
        <v>23</v>
      </c>
      <c r="C30" s="4">
        <v>0</v>
      </c>
      <c r="D30" s="9">
        <v>45815</v>
      </c>
      <c r="E30" s="10">
        <v>0</v>
      </c>
      <c r="F30" s="4">
        <v>1</v>
      </c>
      <c r="G30" s="11"/>
      <c r="H30" s="15" t="s">
        <v>29</v>
      </c>
      <c r="I30" s="4">
        <v>2</v>
      </c>
    </row>
    <row r="31" spans="1:9" ht="15.75" customHeight="1" x14ac:dyDescent="0.15">
      <c r="C31" s="4">
        <v>0</v>
      </c>
      <c r="D31" s="9"/>
      <c r="E31" s="10">
        <v>6.9444444444444447E-4</v>
      </c>
      <c r="F31" s="4">
        <v>0</v>
      </c>
      <c r="I31" s="4">
        <v>1</v>
      </c>
    </row>
    <row r="32" spans="1:9" ht="15.75" customHeight="1" x14ac:dyDescent="0.15">
      <c r="C32" s="4">
        <v>0</v>
      </c>
      <c r="D32" s="9"/>
      <c r="E32" s="10">
        <v>1.3888888888888889E-3</v>
      </c>
      <c r="F32" s="4">
        <v>0</v>
      </c>
      <c r="I32" s="4">
        <v>3</v>
      </c>
    </row>
    <row r="33" spans="1:9" ht="15.75" customHeight="1" x14ac:dyDescent="0.15">
      <c r="C33" s="4">
        <v>0</v>
      </c>
      <c r="D33" s="9"/>
      <c r="E33" s="10">
        <v>2.0833333333333333E-3</v>
      </c>
      <c r="F33" s="4">
        <v>0</v>
      </c>
      <c r="I33" s="4">
        <v>3</v>
      </c>
    </row>
    <row r="34" spans="1:9" ht="15.75" customHeight="1" x14ac:dyDescent="0.15">
      <c r="C34" s="4">
        <v>0</v>
      </c>
      <c r="D34" s="9"/>
      <c r="E34" s="10">
        <v>2.7777777777777779E-3</v>
      </c>
      <c r="F34" s="4">
        <v>0</v>
      </c>
      <c r="I34" s="4">
        <v>3</v>
      </c>
    </row>
    <row r="35" spans="1:9" ht="15.75" customHeight="1" x14ac:dyDescent="0.15">
      <c r="C35" s="4">
        <v>0</v>
      </c>
      <c r="D35" s="9"/>
      <c r="E35" s="10">
        <v>4.1666666666666664E-2</v>
      </c>
      <c r="F35" s="4">
        <v>1</v>
      </c>
      <c r="I35" s="4">
        <v>2</v>
      </c>
    </row>
    <row r="36" spans="1:9" ht="15.75" customHeight="1" x14ac:dyDescent="0.15">
      <c r="C36" s="4">
        <v>0</v>
      </c>
      <c r="D36" s="9"/>
      <c r="E36" s="10">
        <v>4.3749999999999997E-2</v>
      </c>
      <c r="F36" s="4">
        <v>0</v>
      </c>
      <c r="I36" s="4">
        <v>2</v>
      </c>
    </row>
    <row r="37" spans="1:9" ht="15.75" customHeight="1" x14ac:dyDescent="0.15">
      <c r="C37" s="4">
        <v>0</v>
      </c>
      <c r="D37" s="9"/>
      <c r="E37" s="10">
        <v>8.3333333333333329E-2</v>
      </c>
      <c r="F37" s="4">
        <v>1</v>
      </c>
      <c r="I37" s="4">
        <v>2</v>
      </c>
    </row>
    <row r="38" spans="1:9" ht="15.75" customHeight="1" x14ac:dyDescent="0.15">
      <c r="C38" s="4">
        <v>0</v>
      </c>
      <c r="D38" s="9"/>
      <c r="E38" s="10">
        <v>8.4027777777777785E-2</v>
      </c>
      <c r="F38" s="4">
        <v>0</v>
      </c>
      <c r="I38" s="4">
        <v>3</v>
      </c>
    </row>
    <row r="39" spans="1:9" ht="15.75" customHeight="1" x14ac:dyDescent="0.15">
      <c r="C39" s="4">
        <v>0</v>
      </c>
      <c r="D39" s="9"/>
      <c r="E39" s="10">
        <v>8.4722222222222227E-2</v>
      </c>
      <c r="F39" s="4">
        <v>0</v>
      </c>
      <c r="I39" s="4">
        <v>3</v>
      </c>
    </row>
    <row r="40" spans="1:9" ht="15.75" customHeight="1" x14ac:dyDescent="0.15">
      <c r="C40" s="4">
        <v>0</v>
      </c>
      <c r="D40" s="9"/>
      <c r="E40" s="10">
        <v>0.125</v>
      </c>
      <c r="F40" s="4">
        <v>1</v>
      </c>
      <c r="I40" s="4">
        <v>1</v>
      </c>
    </row>
    <row r="41" spans="1:9" ht="15.75" customHeight="1" x14ac:dyDescent="0.15">
      <c r="A41" s="29"/>
      <c r="B41" s="31" t="s">
        <v>32</v>
      </c>
      <c r="C41" s="31">
        <f>SUM(C30:C40)</f>
        <v>0</v>
      </c>
      <c r="D41" s="31"/>
      <c r="E41" s="31"/>
      <c r="F41" s="31">
        <f>SUM(F30:F40)</f>
        <v>4</v>
      </c>
      <c r="G41" s="31">
        <f>COUNT(F30:F40)</f>
        <v>11</v>
      </c>
      <c r="H41" s="31"/>
      <c r="I41" s="31"/>
    </row>
    <row r="42" spans="1:9" ht="15.75" customHeight="1" x14ac:dyDescent="0.15">
      <c r="A42" s="4" t="s">
        <v>20</v>
      </c>
      <c r="B42" s="4" t="s">
        <v>37</v>
      </c>
      <c r="C42" s="4">
        <v>0</v>
      </c>
      <c r="D42" s="9">
        <v>45814</v>
      </c>
      <c r="E42" s="10">
        <v>0</v>
      </c>
      <c r="F42" s="4">
        <v>1</v>
      </c>
      <c r="G42" s="11"/>
      <c r="H42" s="11" t="s">
        <v>39</v>
      </c>
      <c r="I42" s="4">
        <v>3</v>
      </c>
    </row>
    <row r="43" spans="1:9" ht="15.75" customHeight="1" x14ac:dyDescent="0.15">
      <c r="C43" s="4">
        <v>0</v>
      </c>
      <c r="E43" s="10">
        <v>6.9444444444444447E-4</v>
      </c>
      <c r="F43" s="4">
        <v>0</v>
      </c>
      <c r="I43" s="4">
        <v>3</v>
      </c>
    </row>
    <row r="44" spans="1:9" ht="15.75" customHeight="1" x14ac:dyDescent="0.15">
      <c r="C44" s="4">
        <v>0</v>
      </c>
      <c r="E44" s="10">
        <v>1.3888888888888889E-3</v>
      </c>
      <c r="F44" s="4">
        <v>0</v>
      </c>
      <c r="I44" s="4">
        <v>3</v>
      </c>
    </row>
    <row r="45" spans="1:9" ht="15.75" customHeight="1" x14ac:dyDescent="0.15">
      <c r="C45" s="4">
        <v>0</v>
      </c>
      <c r="E45" s="10">
        <v>2.0833333333333333E-3</v>
      </c>
      <c r="F45" s="4">
        <v>0</v>
      </c>
      <c r="I45" s="4">
        <v>3</v>
      </c>
    </row>
    <row r="46" spans="1:9" ht="15.75" customHeight="1" x14ac:dyDescent="0.15">
      <c r="C46" s="4">
        <v>0</v>
      </c>
      <c r="E46" s="10">
        <v>2.7777777777777779E-3</v>
      </c>
      <c r="F46" s="4">
        <v>0</v>
      </c>
      <c r="I46" s="4">
        <v>3</v>
      </c>
    </row>
    <row r="47" spans="1:9" ht="15.75" customHeight="1" x14ac:dyDescent="0.15">
      <c r="C47" s="4">
        <v>0</v>
      </c>
      <c r="E47" s="10">
        <v>4.3055555555555555E-2</v>
      </c>
      <c r="F47" s="4">
        <v>1</v>
      </c>
      <c r="I47" s="4">
        <v>3</v>
      </c>
    </row>
    <row r="48" spans="1:9" ht="15.75" customHeight="1" x14ac:dyDescent="0.15">
      <c r="C48" s="4">
        <v>0</v>
      </c>
      <c r="E48" s="10">
        <v>0.12777777777777777</v>
      </c>
      <c r="F48" s="4">
        <v>1</v>
      </c>
      <c r="I48" s="4">
        <v>2</v>
      </c>
    </row>
    <row r="49" spans="3:9" ht="15.75" customHeight="1" x14ac:dyDescent="0.15">
      <c r="C49" s="4">
        <v>0</v>
      </c>
      <c r="E49" s="10">
        <v>0.16875000000000001</v>
      </c>
      <c r="F49" s="4">
        <v>1</v>
      </c>
      <c r="I49" s="4">
        <v>2</v>
      </c>
    </row>
    <row r="50" spans="3:9" ht="15.75" customHeight="1" x14ac:dyDescent="0.15">
      <c r="C50" s="4">
        <v>0</v>
      </c>
      <c r="E50" s="10">
        <v>0.16944444444444445</v>
      </c>
      <c r="F50" s="4">
        <v>0</v>
      </c>
      <c r="I50" s="4">
        <v>3</v>
      </c>
    </row>
    <row r="51" spans="3:9" ht="15.75" customHeight="1" x14ac:dyDescent="0.15">
      <c r="C51" s="4">
        <v>0</v>
      </c>
      <c r="E51" s="10">
        <v>0.20972222222222223</v>
      </c>
      <c r="F51" s="4">
        <v>1</v>
      </c>
      <c r="I51" s="4">
        <v>3</v>
      </c>
    </row>
    <row r="52" spans="3:9" ht="15.75" customHeight="1" x14ac:dyDescent="0.15">
      <c r="C52" s="4">
        <v>0</v>
      </c>
      <c r="E52" s="10">
        <v>0.21041666666666667</v>
      </c>
      <c r="F52" s="4">
        <v>0</v>
      </c>
      <c r="I52" s="4">
        <v>3</v>
      </c>
    </row>
    <row r="53" spans="3:9" ht="15.75" customHeight="1" x14ac:dyDescent="0.15">
      <c r="C53" s="4">
        <v>0</v>
      </c>
      <c r="E53" s="10">
        <v>0.875</v>
      </c>
      <c r="F53" s="4">
        <v>1</v>
      </c>
      <c r="I53" s="4">
        <v>2</v>
      </c>
    </row>
    <row r="54" spans="3:9" ht="15.75" customHeight="1" x14ac:dyDescent="0.15">
      <c r="C54" s="4">
        <v>0</v>
      </c>
      <c r="E54" s="10">
        <v>0.87569444444444444</v>
      </c>
      <c r="F54" s="4">
        <v>0</v>
      </c>
      <c r="I54" s="4">
        <v>1</v>
      </c>
    </row>
    <row r="55" spans="3:9" ht="15.75" customHeight="1" x14ac:dyDescent="0.15">
      <c r="C55" s="4">
        <v>0</v>
      </c>
      <c r="E55" s="10">
        <v>0.87638888888888888</v>
      </c>
      <c r="F55" s="4">
        <v>0</v>
      </c>
      <c r="I55" s="4">
        <v>1</v>
      </c>
    </row>
    <row r="56" spans="3:9" ht="15.75" customHeight="1" x14ac:dyDescent="0.15">
      <c r="C56" s="4">
        <v>0</v>
      </c>
      <c r="E56" s="10">
        <v>0.87708333333333333</v>
      </c>
      <c r="F56" s="4">
        <v>0</v>
      </c>
      <c r="I56" s="4">
        <v>1</v>
      </c>
    </row>
    <row r="57" spans="3:9" ht="15.75" customHeight="1" x14ac:dyDescent="0.15">
      <c r="C57" s="4">
        <v>0</v>
      </c>
      <c r="E57" s="10">
        <v>0.87777777777777777</v>
      </c>
      <c r="F57" s="4">
        <v>0</v>
      </c>
      <c r="I57" s="4">
        <v>1</v>
      </c>
    </row>
    <row r="58" spans="3:9" ht="15.75" customHeight="1" x14ac:dyDescent="0.15">
      <c r="C58" s="4">
        <v>0</v>
      </c>
      <c r="E58" s="10">
        <v>0.41736111111111113</v>
      </c>
      <c r="F58" s="4">
        <v>1</v>
      </c>
      <c r="I58" s="4">
        <v>3</v>
      </c>
    </row>
    <row r="59" spans="3:9" ht="15.75" customHeight="1" x14ac:dyDescent="0.15">
      <c r="C59" s="4">
        <v>0</v>
      </c>
      <c r="E59" s="10">
        <v>0.91805555555555551</v>
      </c>
      <c r="F59" s="4">
        <v>0</v>
      </c>
      <c r="I59" s="4">
        <v>3</v>
      </c>
    </row>
    <row r="60" spans="3:9" ht="15.75" customHeight="1" x14ac:dyDescent="0.15">
      <c r="C60" s="4">
        <v>0</v>
      </c>
      <c r="E60" s="10">
        <v>0.91874999999999996</v>
      </c>
      <c r="F60" s="4">
        <v>0</v>
      </c>
      <c r="I60" s="4">
        <v>3</v>
      </c>
    </row>
    <row r="61" spans="3:9" ht="15.75" customHeight="1" x14ac:dyDescent="0.15">
      <c r="C61" s="4">
        <v>0</v>
      </c>
      <c r="E61" s="10">
        <v>0.9194444444444444</v>
      </c>
      <c r="F61" s="4">
        <v>0</v>
      </c>
      <c r="I61" s="4">
        <v>3</v>
      </c>
    </row>
    <row r="62" spans="3:9" ht="13" x14ac:dyDescent="0.15">
      <c r="C62" s="4">
        <v>0</v>
      </c>
      <c r="E62" s="10">
        <v>0.95833333333333337</v>
      </c>
      <c r="F62" s="4">
        <v>1</v>
      </c>
      <c r="I62" s="4">
        <v>3</v>
      </c>
    </row>
    <row r="63" spans="3:9" ht="13" x14ac:dyDescent="0.15">
      <c r="C63" s="4">
        <v>0</v>
      </c>
      <c r="E63" s="10">
        <v>0.95902777777777781</v>
      </c>
      <c r="F63" s="4">
        <v>0</v>
      </c>
      <c r="I63" s="4">
        <v>3</v>
      </c>
    </row>
    <row r="64" spans="3:9" ht="13" x14ac:dyDescent="0.15">
      <c r="C64" s="4">
        <v>0</v>
      </c>
      <c r="E64" s="10">
        <v>0.95972222222222225</v>
      </c>
      <c r="F64" s="4">
        <v>0</v>
      </c>
      <c r="I64" s="4">
        <v>3</v>
      </c>
    </row>
    <row r="65" spans="1:9" ht="13" x14ac:dyDescent="0.15">
      <c r="C65" s="4">
        <v>0</v>
      </c>
      <c r="E65" s="10">
        <v>0.9604166666666667</v>
      </c>
      <c r="F65" s="4">
        <v>0</v>
      </c>
      <c r="I65" s="4">
        <v>3</v>
      </c>
    </row>
    <row r="66" spans="1:9" ht="13" x14ac:dyDescent="0.15">
      <c r="C66" s="4">
        <v>0</v>
      </c>
      <c r="E66" s="10">
        <v>0.96111111111111114</v>
      </c>
      <c r="F66" s="4">
        <v>0</v>
      </c>
      <c r="I66" s="4">
        <v>3</v>
      </c>
    </row>
    <row r="67" spans="1:9" ht="13" x14ac:dyDescent="0.15">
      <c r="A67" s="25"/>
      <c r="B67" s="26" t="s">
        <v>32</v>
      </c>
      <c r="C67" s="26">
        <f>SUM(C42:C66)</f>
        <v>0</v>
      </c>
      <c r="D67" s="26"/>
      <c r="E67" s="26"/>
      <c r="F67" s="26">
        <f>SUM(F42:F66)</f>
        <v>8</v>
      </c>
      <c r="G67" s="26">
        <f>COUNT(F42:F66)</f>
        <v>25</v>
      </c>
      <c r="H67" s="26"/>
      <c r="I67" s="26"/>
    </row>
    <row r="68" spans="1:9" ht="14" x14ac:dyDescent="0.15">
      <c r="A68" s="4" t="s">
        <v>20</v>
      </c>
      <c r="B68" s="4" t="s">
        <v>37</v>
      </c>
      <c r="C68" s="4">
        <v>0</v>
      </c>
      <c r="D68" s="9">
        <v>45815</v>
      </c>
      <c r="E68" s="10">
        <v>1.3888888888888889E-3</v>
      </c>
      <c r="F68" s="4">
        <v>1</v>
      </c>
      <c r="G68" s="11"/>
      <c r="H68" s="11" t="s">
        <v>39</v>
      </c>
      <c r="I68" s="4">
        <v>3</v>
      </c>
    </row>
    <row r="69" spans="1:9" ht="13" x14ac:dyDescent="0.15">
      <c r="C69" s="4">
        <v>0</v>
      </c>
      <c r="E69" s="10">
        <v>2.0833333333333333E-3</v>
      </c>
      <c r="F69" s="4">
        <v>0</v>
      </c>
      <c r="I69" s="4">
        <v>3</v>
      </c>
    </row>
    <row r="70" spans="1:9" ht="13" x14ac:dyDescent="0.15">
      <c r="C70" s="4">
        <v>0</v>
      </c>
      <c r="E70" s="10">
        <v>2.7777777777777779E-3</v>
      </c>
      <c r="F70" s="4">
        <v>0</v>
      </c>
      <c r="I70" s="4">
        <v>3</v>
      </c>
    </row>
    <row r="71" spans="1:9" ht="13" x14ac:dyDescent="0.15">
      <c r="C71" s="4">
        <v>0</v>
      </c>
      <c r="E71" s="10">
        <v>8.4027777777777785E-2</v>
      </c>
      <c r="F71" s="4">
        <v>1</v>
      </c>
      <c r="I71" s="4">
        <v>3</v>
      </c>
    </row>
    <row r="72" spans="1:9" ht="13" x14ac:dyDescent="0.15">
      <c r="C72" s="4">
        <v>0</v>
      </c>
      <c r="E72" s="10">
        <v>8.4722222222222227E-2</v>
      </c>
      <c r="F72" s="4">
        <v>0</v>
      </c>
      <c r="I72" s="4">
        <v>3</v>
      </c>
    </row>
    <row r="73" spans="1:9" ht="13" x14ac:dyDescent="0.15">
      <c r="A73" s="29"/>
      <c r="B73" s="31" t="s">
        <v>32</v>
      </c>
      <c r="C73" s="31">
        <f>SUM(C68:C72)</f>
        <v>0</v>
      </c>
      <c r="D73" s="29"/>
      <c r="E73" s="29"/>
      <c r="F73" s="31">
        <f>SUM(F68:F72)</f>
        <v>2</v>
      </c>
      <c r="G73" s="31">
        <f>COUNT(F68:F72)</f>
        <v>5</v>
      </c>
      <c r="H73" s="29"/>
      <c r="I73" s="29"/>
    </row>
    <row r="74" spans="1:9" ht="13" x14ac:dyDescent="0.15">
      <c r="A74" s="4" t="s">
        <v>20</v>
      </c>
      <c r="B74" s="4" t="s">
        <v>48</v>
      </c>
      <c r="C74" s="4">
        <v>0</v>
      </c>
      <c r="D74" s="9">
        <v>45814</v>
      </c>
      <c r="E74" s="10">
        <v>0.12708333333333333</v>
      </c>
      <c r="F74" s="4">
        <v>1</v>
      </c>
      <c r="G74" s="7"/>
      <c r="H74" s="7" t="s">
        <v>49</v>
      </c>
      <c r="I74" s="4">
        <v>3</v>
      </c>
    </row>
    <row r="75" spans="1:9" ht="13" x14ac:dyDescent="0.15">
      <c r="C75" s="4">
        <v>0</v>
      </c>
      <c r="E75" s="10">
        <v>0.16944444444444445</v>
      </c>
      <c r="F75" s="4">
        <v>1</v>
      </c>
      <c r="I75" s="4">
        <v>3</v>
      </c>
    </row>
    <row r="76" spans="1:9" ht="13" x14ac:dyDescent="0.15">
      <c r="A76" s="25"/>
      <c r="B76" s="26" t="s">
        <v>32</v>
      </c>
      <c r="C76" s="26">
        <f>SUM(C74:C75)</f>
        <v>0</v>
      </c>
      <c r="D76" s="26"/>
      <c r="E76" s="27"/>
      <c r="F76" s="26">
        <f>SUM(F74:F75)</f>
        <v>2</v>
      </c>
      <c r="G76" s="26">
        <f>COUNT(F74:F75)</f>
        <v>2</v>
      </c>
      <c r="H76" s="25"/>
      <c r="I76" s="25"/>
    </row>
    <row r="77" spans="1:9" ht="13" x14ac:dyDescent="0.15">
      <c r="A77" s="4" t="s">
        <v>20</v>
      </c>
      <c r="B77" s="4" t="s">
        <v>48</v>
      </c>
      <c r="C77" s="4">
        <v>0</v>
      </c>
      <c r="D77" s="9">
        <v>45815</v>
      </c>
      <c r="E77" s="10">
        <v>0.16666666666666666</v>
      </c>
      <c r="F77" s="4">
        <v>1</v>
      </c>
      <c r="G77" s="7"/>
      <c r="H77" s="7" t="s">
        <v>49</v>
      </c>
      <c r="I77" s="4">
        <v>1</v>
      </c>
    </row>
    <row r="78" spans="1:9" ht="13" x14ac:dyDescent="0.15">
      <c r="C78" s="4">
        <v>0</v>
      </c>
      <c r="E78" s="10">
        <v>0.1673611111111111</v>
      </c>
      <c r="F78" s="4">
        <v>0</v>
      </c>
      <c r="I78" s="4">
        <v>1</v>
      </c>
    </row>
    <row r="79" spans="1:9" ht="13" x14ac:dyDescent="0.15">
      <c r="C79" s="4">
        <v>0</v>
      </c>
      <c r="E79" s="10">
        <v>0.16805555555555557</v>
      </c>
      <c r="F79" s="4">
        <v>0</v>
      </c>
      <c r="I79" s="4">
        <v>1</v>
      </c>
    </row>
    <row r="80" spans="1:9" ht="13" x14ac:dyDescent="0.15">
      <c r="A80" s="29"/>
      <c r="B80" s="31" t="s">
        <v>32</v>
      </c>
      <c r="C80" s="31">
        <f>SUM(C77:C79)</f>
        <v>0</v>
      </c>
      <c r="D80" s="31"/>
      <c r="E80" s="31"/>
      <c r="F80" s="31">
        <f>SUM(F77:F79)</f>
        <v>1</v>
      </c>
      <c r="G80" s="31">
        <f>COUNT(F77:F79)</f>
        <v>3</v>
      </c>
      <c r="H80" s="29"/>
      <c r="I80" s="29"/>
    </row>
    <row r="81" spans="1:9" ht="14" x14ac:dyDescent="0.15">
      <c r="A81" s="4" t="s">
        <v>20</v>
      </c>
      <c r="B81" s="4" t="s">
        <v>18</v>
      </c>
      <c r="C81" s="4">
        <v>0</v>
      </c>
      <c r="D81" s="9">
        <v>45813</v>
      </c>
      <c r="E81" s="10">
        <v>0.5</v>
      </c>
      <c r="F81" s="4">
        <v>1</v>
      </c>
      <c r="G81" s="16"/>
      <c r="H81" s="16" t="s">
        <v>21</v>
      </c>
      <c r="I81" s="4">
        <v>1</v>
      </c>
    </row>
    <row r="82" spans="1:9" ht="13" x14ac:dyDescent="0.15">
      <c r="C82" s="4">
        <v>0</v>
      </c>
      <c r="E82" s="10">
        <v>0.54166666666666663</v>
      </c>
      <c r="F82" s="4">
        <v>1</v>
      </c>
      <c r="I82" s="4">
        <v>2</v>
      </c>
    </row>
    <row r="83" spans="1:9" ht="13" x14ac:dyDescent="0.15">
      <c r="A83" s="25"/>
      <c r="B83" s="26" t="s">
        <v>32</v>
      </c>
      <c r="C83" s="26">
        <f>SUM(C81:C82)</f>
        <v>0</v>
      </c>
      <c r="D83" s="26"/>
      <c r="E83" s="26"/>
      <c r="F83" s="26">
        <f>SUM(F81:F82)</f>
        <v>2</v>
      </c>
      <c r="G83" s="26">
        <f>COUNT(F81:F82)</f>
        <v>2</v>
      </c>
      <c r="H83" s="25"/>
      <c r="I83" s="25"/>
    </row>
    <row r="84" spans="1:9" ht="14" x14ac:dyDescent="0.15">
      <c r="A84" s="4" t="s">
        <v>20</v>
      </c>
      <c r="B84" s="4" t="s">
        <v>18</v>
      </c>
      <c r="C84" s="4">
        <v>0</v>
      </c>
      <c r="D84" s="9">
        <v>45814</v>
      </c>
      <c r="E84" s="10">
        <v>0</v>
      </c>
      <c r="F84" s="4">
        <v>1</v>
      </c>
      <c r="G84" s="16"/>
      <c r="H84" s="16" t="s">
        <v>21</v>
      </c>
      <c r="I84" s="4">
        <v>3</v>
      </c>
    </row>
    <row r="85" spans="1:9" ht="13" x14ac:dyDescent="0.15">
      <c r="C85" s="4">
        <v>0</v>
      </c>
      <c r="E85" s="10">
        <v>6.9444444444444447E-4</v>
      </c>
      <c r="F85" s="4">
        <v>0</v>
      </c>
      <c r="I85" s="4">
        <v>3</v>
      </c>
    </row>
    <row r="86" spans="1:9" ht="13" x14ac:dyDescent="0.15">
      <c r="C86" s="4">
        <v>0</v>
      </c>
      <c r="E86" s="10">
        <v>1.3888888888888889E-3</v>
      </c>
      <c r="F86" s="4">
        <v>0</v>
      </c>
      <c r="I86" s="4">
        <v>3</v>
      </c>
    </row>
    <row r="87" spans="1:9" ht="13" x14ac:dyDescent="0.15">
      <c r="C87" s="4">
        <v>0</v>
      </c>
      <c r="E87" s="10">
        <v>2.0833333333333333E-3</v>
      </c>
      <c r="F87" s="4">
        <v>0</v>
      </c>
      <c r="I87" s="4">
        <v>3</v>
      </c>
    </row>
    <row r="88" spans="1:9" ht="13" x14ac:dyDescent="0.15">
      <c r="C88" s="4">
        <v>0</v>
      </c>
      <c r="E88" s="10">
        <v>2.7777777777777779E-3</v>
      </c>
      <c r="F88" s="4">
        <v>0</v>
      </c>
      <c r="I88" s="4">
        <v>3</v>
      </c>
    </row>
    <row r="89" spans="1:9" ht="13" x14ac:dyDescent="0.15">
      <c r="C89" s="4">
        <v>0</v>
      </c>
      <c r="E89" s="10">
        <v>4.3055555555555555E-2</v>
      </c>
      <c r="F89" s="4">
        <v>1</v>
      </c>
      <c r="I89" s="4">
        <v>3</v>
      </c>
    </row>
    <row r="90" spans="1:9" ht="13" x14ac:dyDescent="0.15">
      <c r="C90" s="4">
        <v>0</v>
      </c>
      <c r="E90" s="10">
        <v>4.3749999999999997E-2</v>
      </c>
      <c r="F90" s="4">
        <v>0</v>
      </c>
      <c r="I90" s="4">
        <v>2</v>
      </c>
    </row>
    <row r="91" spans="1:9" ht="13" x14ac:dyDescent="0.15">
      <c r="C91" s="4">
        <v>0</v>
      </c>
      <c r="E91" s="10">
        <v>0.20972222222222223</v>
      </c>
      <c r="F91" s="4">
        <v>1</v>
      </c>
      <c r="I91" s="4">
        <v>3</v>
      </c>
    </row>
    <row r="92" spans="1:9" ht="13" x14ac:dyDescent="0.15">
      <c r="C92" s="4">
        <v>0</v>
      </c>
      <c r="E92" s="10">
        <v>0.21041666666666667</v>
      </c>
      <c r="F92" s="4">
        <v>0</v>
      </c>
      <c r="I92" s="4">
        <v>3</v>
      </c>
    </row>
    <row r="93" spans="1:9" ht="13" x14ac:dyDescent="0.15">
      <c r="C93" s="4">
        <v>0</v>
      </c>
      <c r="E93" s="10">
        <v>0.83333333333333337</v>
      </c>
      <c r="F93" s="4">
        <v>1</v>
      </c>
      <c r="I93" s="4">
        <v>1</v>
      </c>
    </row>
    <row r="94" spans="1:9" ht="13" x14ac:dyDescent="0.15">
      <c r="C94" s="4">
        <v>0</v>
      </c>
      <c r="E94" s="10">
        <v>0.83402777777777781</v>
      </c>
      <c r="F94" s="4">
        <v>0</v>
      </c>
      <c r="I94" s="4">
        <v>1</v>
      </c>
    </row>
    <row r="95" spans="1:9" ht="13" x14ac:dyDescent="0.15">
      <c r="C95" s="4">
        <v>0</v>
      </c>
      <c r="E95" s="10">
        <v>0.83472222222222225</v>
      </c>
      <c r="F95" s="4">
        <v>0</v>
      </c>
      <c r="I95" s="4">
        <v>1</v>
      </c>
    </row>
    <row r="96" spans="1:9" ht="13" x14ac:dyDescent="0.15">
      <c r="C96" s="4">
        <v>0</v>
      </c>
      <c r="E96" s="10">
        <v>0.8354166666666667</v>
      </c>
      <c r="F96" s="4">
        <v>0</v>
      </c>
      <c r="I96" s="4">
        <v>1</v>
      </c>
    </row>
    <row r="97" spans="1:9" ht="13" x14ac:dyDescent="0.15">
      <c r="C97" s="4">
        <v>0</v>
      </c>
      <c r="E97" s="10">
        <v>0.875</v>
      </c>
      <c r="F97" s="4">
        <v>1</v>
      </c>
      <c r="I97" s="4">
        <v>2</v>
      </c>
    </row>
    <row r="98" spans="1:9" ht="13" x14ac:dyDescent="0.15">
      <c r="C98" s="4">
        <v>0</v>
      </c>
      <c r="E98" s="10">
        <v>0.87569444444444444</v>
      </c>
      <c r="F98" s="4">
        <v>0</v>
      </c>
      <c r="I98" s="4">
        <v>1</v>
      </c>
    </row>
    <row r="99" spans="1:9" ht="13" x14ac:dyDescent="0.15">
      <c r="C99" s="4">
        <v>0</v>
      </c>
      <c r="E99" s="10">
        <v>0.87638888888888888</v>
      </c>
      <c r="F99" s="4">
        <v>0</v>
      </c>
      <c r="I99" s="4">
        <v>1</v>
      </c>
    </row>
    <row r="100" spans="1:9" ht="13" x14ac:dyDescent="0.15">
      <c r="C100" s="4">
        <v>0</v>
      </c>
      <c r="E100" s="10">
        <v>0.87708333333333333</v>
      </c>
      <c r="F100" s="4">
        <v>0</v>
      </c>
      <c r="I100" s="4">
        <v>1</v>
      </c>
    </row>
    <row r="101" spans="1:9" ht="13" x14ac:dyDescent="0.15">
      <c r="C101" s="4">
        <v>0</v>
      </c>
      <c r="E101" s="10">
        <v>0.87777777777777777</v>
      </c>
      <c r="F101" s="4">
        <v>0</v>
      </c>
      <c r="I101" s="4">
        <v>1</v>
      </c>
    </row>
    <row r="102" spans="1:9" ht="13" x14ac:dyDescent="0.15">
      <c r="C102" s="4">
        <v>0</v>
      </c>
      <c r="E102" s="10">
        <v>0.91666666666666663</v>
      </c>
      <c r="F102" s="4">
        <v>1</v>
      </c>
      <c r="I102" s="4">
        <v>2</v>
      </c>
    </row>
    <row r="103" spans="1:9" ht="13" x14ac:dyDescent="0.15">
      <c r="C103" s="4">
        <v>0</v>
      </c>
      <c r="E103" s="10">
        <v>0.91736111111111107</v>
      </c>
      <c r="F103" s="4">
        <v>0</v>
      </c>
      <c r="I103" s="4">
        <v>3</v>
      </c>
    </row>
    <row r="104" spans="1:9" ht="13" x14ac:dyDescent="0.15">
      <c r="C104" s="4">
        <v>0</v>
      </c>
      <c r="E104" s="10">
        <v>0.91805555555555551</v>
      </c>
      <c r="F104" s="4">
        <v>0</v>
      </c>
      <c r="I104" s="4">
        <v>3</v>
      </c>
    </row>
    <row r="105" spans="1:9" ht="13" x14ac:dyDescent="0.15">
      <c r="C105" s="4">
        <v>0</v>
      </c>
      <c r="E105" s="10">
        <v>0.91874999999999996</v>
      </c>
      <c r="F105" s="4">
        <v>0</v>
      </c>
      <c r="I105" s="4">
        <v>3</v>
      </c>
    </row>
    <row r="106" spans="1:9" ht="13" x14ac:dyDescent="0.15">
      <c r="C106" s="4">
        <v>0</v>
      </c>
      <c r="E106" s="10">
        <v>0.9194444444444444</v>
      </c>
      <c r="F106" s="4">
        <v>0</v>
      </c>
      <c r="I106" s="4">
        <v>3</v>
      </c>
    </row>
    <row r="107" spans="1:9" ht="13" x14ac:dyDescent="0.15">
      <c r="C107" s="4">
        <v>0</v>
      </c>
      <c r="E107" s="10">
        <v>0.95833333333333337</v>
      </c>
      <c r="F107" s="4">
        <v>1</v>
      </c>
      <c r="I107" s="4">
        <v>3</v>
      </c>
    </row>
    <row r="108" spans="1:9" ht="13" x14ac:dyDescent="0.15">
      <c r="C108" s="4">
        <v>0</v>
      </c>
      <c r="E108" s="10">
        <v>0.95902777777777781</v>
      </c>
      <c r="F108" s="4">
        <v>0</v>
      </c>
      <c r="I108" s="4">
        <v>3</v>
      </c>
    </row>
    <row r="109" spans="1:9" ht="13" x14ac:dyDescent="0.15">
      <c r="C109" s="4">
        <v>0</v>
      </c>
      <c r="E109" s="10">
        <v>0.95972222222222225</v>
      </c>
      <c r="F109" s="4">
        <v>0</v>
      </c>
      <c r="I109" s="4">
        <v>3</v>
      </c>
    </row>
    <row r="110" spans="1:9" ht="13" x14ac:dyDescent="0.15">
      <c r="C110" s="4">
        <v>0</v>
      </c>
      <c r="E110" s="10">
        <v>0.9604166666666667</v>
      </c>
      <c r="F110" s="4">
        <v>0</v>
      </c>
      <c r="I110" s="4">
        <v>3</v>
      </c>
    </row>
    <row r="111" spans="1:9" ht="13" x14ac:dyDescent="0.15">
      <c r="C111" s="4">
        <v>0</v>
      </c>
      <c r="E111" s="10">
        <v>0.96111111111111114</v>
      </c>
      <c r="F111" s="4">
        <v>0</v>
      </c>
      <c r="I111" s="4">
        <v>3</v>
      </c>
    </row>
    <row r="112" spans="1:9" ht="13" x14ac:dyDescent="0.15">
      <c r="A112" s="25"/>
      <c r="B112" s="26" t="s">
        <v>32</v>
      </c>
      <c r="C112" s="26">
        <f>SUM(C84:C111)</f>
        <v>0</v>
      </c>
      <c r="D112" s="25"/>
      <c r="E112" s="25"/>
      <c r="F112" s="26">
        <f>SUM(F84:F111)</f>
        <v>7</v>
      </c>
      <c r="G112" s="26">
        <f>COUNT(F84:F111)</f>
        <v>28</v>
      </c>
      <c r="H112" s="25"/>
      <c r="I112" s="25"/>
    </row>
    <row r="113" spans="1:9" ht="14" x14ac:dyDescent="0.15">
      <c r="A113" s="4" t="s">
        <v>20</v>
      </c>
      <c r="B113" s="4" t="s">
        <v>18</v>
      </c>
      <c r="C113" s="4">
        <v>0</v>
      </c>
      <c r="D113" s="9">
        <v>45815</v>
      </c>
      <c r="E113" s="10">
        <v>0</v>
      </c>
      <c r="F113" s="4">
        <v>1</v>
      </c>
      <c r="G113" s="16"/>
      <c r="H113" s="16" t="s">
        <v>21</v>
      </c>
      <c r="I113" s="4">
        <v>2</v>
      </c>
    </row>
    <row r="114" spans="1:9" ht="13" x14ac:dyDescent="0.15">
      <c r="C114" s="4">
        <v>0</v>
      </c>
      <c r="E114" s="10">
        <v>6.9444444444444447E-4</v>
      </c>
      <c r="F114" s="4">
        <v>0</v>
      </c>
      <c r="I114" s="4">
        <v>2</v>
      </c>
    </row>
    <row r="115" spans="1:9" ht="13" x14ac:dyDescent="0.15">
      <c r="C115" s="4">
        <v>0</v>
      </c>
      <c r="E115" s="10">
        <v>1.3888888888888889E-3</v>
      </c>
      <c r="F115" s="4">
        <v>0</v>
      </c>
      <c r="I115" s="4">
        <v>3</v>
      </c>
    </row>
    <row r="116" spans="1:9" ht="13" x14ac:dyDescent="0.15">
      <c r="C116" s="4">
        <v>0</v>
      </c>
      <c r="E116" s="10">
        <v>2.0833333333333333E-3</v>
      </c>
      <c r="F116" s="4">
        <v>0</v>
      </c>
      <c r="I116" s="4">
        <v>3</v>
      </c>
    </row>
    <row r="117" spans="1:9" ht="13" x14ac:dyDescent="0.15">
      <c r="C117" s="4">
        <v>0</v>
      </c>
      <c r="E117" s="10">
        <v>2.7777777777777779E-3</v>
      </c>
      <c r="F117" s="4">
        <v>0</v>
      </c>
      <c r="I117" s="4">
        <v>3</v>
      </c>
    </row>
    <row r="118" spans="1:9" ht="13" x14ac:dyDescent="0.15">
      <c r="C118" s="4">
        <v>0</v>
      </c>
      <c r="E118" s="10">
        <v>4.1666666666666664E-2</v>
      </c>
      <c r="F118" s="4">
        <v>1</v>
      </c>
      <c r="I118" s="4">
        <v>2</v>
      </c>
    </row>
    <row r="119" spans="1:9" ht="13" x14ac:dyDescent="0.15">
      <c r="C119" s="4">
        <v>0</v>
      </c>
      <c r="E119" s="10">
        <v>4.2361111111111113E-2</v>
      </c>
      <c r="F119" s="4">
        <v>0</v>
      </c>
      <c r="I119" s="4">
        <v>1</v>
      </c>
    </row>
    <row r="120" spans="1:9" ht="13" x14ac:dyDescent="0.15">
      <c r="C120" s="4">
        <v>0</v>
      </c>
      <c r="E120" s="10">
        <v>4.3055555555555555E-2</v>
      </c>
      <c r="F120" s="4">
        <v>0</v>
      </c>
      <c r="I120" s="4">
        <v>1</v>
      </c>
    </row>
    <row r="121" spans="1:9" ht="13" x14ac:dyDescent="0.15">
      <c r="C121" s="4">
        <v>0</v>
      </c>
      <c r="E121" s="10">
        <v>4.3749999999999997E-2</v>
      </c>
      <c r="F121" s="4">
        <v>0</v>
      </c>
      <c r="I121" s="4">
        <v>2</v>
      </c>
    </row>
    <row r="122" spans="1:9" ht="13" x14ac:dyDescent="0.15">
      <c r="C122" s="4">
        <v>0</v>
      </c>
      <c r="E122" s="10">
        <v>8.3333333333333329E-2</v>
      </c>
      <c r="F122" s="4">
        <v>1</v>
      </c>
      <c r="I122" s="4">
        <v>2</v>
      </c>
    </row>
    <row r="123" spans="1:9" ht="13" x14ac:dyDescent="0.15">
      <c r="C123" s="4">
        <v>0</v>
      </c>
      <c r="E123" s="10">
        <v>8.4027777777777785E-2</v>
      </c>
      <c r="F123" s="4">
        <v>0</v>
      </c>
      <c r="I123" s="4">
        <v>3</v>
      </c>
    </row>
    <row r="124" spans="1:9" ht="13" x14ac:dyDescent="0.15">
      <c r="C124" s="4">
        <v>0</v>
      </c>
      <c r="E124" s="10">
        <v>8.4722222222222227E-2</v>
      </c>
      <c r="F124" s="4">
        <v>0</v>
      </c>
      <c r="I124" s="4">
        <v>3</v>
      </c>
    </row>
    <row r="125" spans="1:9" ht="13" x14ac:dyDescent="0.15">
      <c r="A125" s="29"/>
      <c r="B125" s="31" t="s">
        <v>32</v>
      </c>
      <c r="C125" s="31">
        <f>SUM(C113:C124)</f>
        <v>0</v>
      </c>
      <c r="D125" s="29"/>
      <c r="E125" s="29"/>
      <c r="F125" s="31">
        <f>SUM(F113:F124)</f>
        <v>3</v>
      </c>
      <c r="G125" s="31">
        <f>COUNT(F113:F124)</f>
        <v>12</v>
      </c>
      <c r="H125" s="29"/>
      <c r="I125" s="29"/>
    </row>
    <row r="126" spans="1:9" ht="13" x14ac:dyDescent="0.15">
      <c r="A126" s="4" t="s">
        <v>40</v>
      </c>
      <c r="B126" s="4" t="s">
        <v>41</v>
      </c>
      <c r="C126" s="4"/>
      <c r="D126" s="9">
        <v>45874</v>
      </c>
      <c r="E126" s="10">
        <v>0</v>
      </c>
      <c r="F126" s="4">
        <v>0</v>
      </c>
      <c r="G126" s="7"/>
      <c r="H126" s="7" t="s">
        <v>42</v>
      </c>
      <c r="I126" s="4"/>
    </row>
    <row r="127" spans="1:9" ht="13" x14ac:dyDescent="0.15">
      <c r="A127" s="4"/>
      <c r="B127" s="4"/>
      <c r="C127" s="4">
        <v>0</v>
      </c>
      <c r="D127" s="9"/>
      <c r="E127" s="10">
        <v>1.3888888888888889E-3</v>
      </c>
      <c r="F127" s="4">
        <v>1</v>
      </c>
      <c r="G127" s="7"/>
      <c r="H127" s="7"/>
      <c r="I127" s="4"/>
    </row>
    <row r="128" spans="1:9" ht="13" x14ac:dyDescent="0.15">
      <c r="A128" s="4"/>
      <c r="B128" s="4"/>
      <c r="C128" s="4">
        <v>0</v>
      </c>
      <c r="D128" s="9"/>
      <c r="E128" s="10">
        <v>4.1666666666666664E-2</v>
      </c>
      <c r="F128" s="4">
        <v>1</v>
      </c>
      <c r="G128" s="7"/>
      <c r="H128" s="7"/>
      <c r="I128" s="4"/>
    </row>
    <row r="129" spans="1:9" ht="13" x14ac:dyDescent="0.15">
      <c r="A129" s="4"/>
      <c r="B129" s="4"/>
      <c r="C129" s="4">
        <v>0</v>
      </c>
      <c r="D129" s="9"/>
      <c r="E129" s="10">
        <v>4.3055555555555555E-2</v>
      </c>
      <c r="F129" s="4">
        <v>0</v>
      </c>
      <c r="G129" s="7"/>
      <c r="H129" s="7"/>
      <c r="I129" s="4"/>
    </row>
    <row r="130" spans="1:9" ht="13" x14ac:dyDescent="0.15">
      <c r="A130" s="4"/>
      <c r="B130" s="4"/>
      <c r="C130" s="4">
        <v>0</v>
      </c>
      <c r="D130" s="9"/>
      <c r="E130" s="10">
        <v>8.3333333333333329E-2</v>
      </c>
      <c r="F130" s="4">
        <v>1</v>
      </c>
      <c r="G130" s="7"/>
      <c r="H130" s="7"/>
      <c r="I130" s="4"/>
    </row>
    <row r="131" spans="1:9" ht="13" x14ac:dyDescent="0.15">
      <c r="A131" s="4"/>
      <c r="B131" s="4"/>
      <c r="C131" s="4">
        <v>0</v>
      </c>
      <c r="D131" s="9"/>
      <c r="E131" s="10">
        <v>0.125</v>
      </c>
      <c r="F131" s="4">
        <v>1</v>
      </c>
      <c r="G131" s="7"/>
      <c r="H131" s="7"/>
      <c r="I131" s="4"/>
    </row>
    <row r="132" spans="1:9" ht="13" x14ac:dyDescent="0.15">
      <c r="A132" s="4"/>
      <c r="B132" s="4"/>
      <c r="C132" s="4">
        <v>0</v>
      </c>
      <c r="D132" s="9"/>
      <c r="E132" s="10">
        <v>0.16666666666666666</v>
      </c>
      <c r="F132" s="4">
        <v>0</v>
      </c>
      <c r="G132" s="7"/>
      <c r="H132" s="7"/>
      <c r="I132" s="4"/>
    </row>
    <row r="133" spans="1:9" ht="13" x14ac:dyDescent="0.15">
      <c r="A133" s="4"/>
      <c r="B133" s="4"/>
      <c r="C133" s="4"/>
      <c r="D133" s="9"/>
      <c r="E133" s="10">
        <v>0.20833333333333334</v>
      </c>
      <c r="F133" s="4">
        <v>1</v>
      </c>
      <c r="G133" s="7"/>
      <c r="H133" s="7"/>
      <c r="I133" s="4"/>
    </row>
    <row r="134" spans="1:9" ht="13" x14ac:dyDescent="0.15">
      <c r="A134" s="4"/>
      <c r="B134" s="4"/>
      <c r="C134" s="4"/>
      <c r="D134" s="9"/>
      <c r="E134" s="10">
        <v>0.25</v>
      </c>
      <c r="F134" s="4">
        <v>0</v>
      </c>
      <c r="G134" s="7"/>
      <c r="H134" s="7"/>
      <c r="I134" s="4"/>
    </row>
    <row r="135" spans="1:9" ht="13" x14ac:dyDescent="0.15">
      <c r="A135" s="4"/>
      <c r="B135" s="4"/>
      <c r="C135" s="4"/>
      <c r="D135" s="9"/>
      <c r="E135" s="10">
        <v>0.29166666666666669</v>
      </c>
      <c r="F135" s="4">
        <v>0</v>
      </c>
      <c r="G135" s="7"/>
      <c r="H135" s="7"/>
      <c r="I135" s="4"/>
    </row>
    <row r="136" spans="1:9" ht="13" x14ac:dyDescent="0.15">
      <c r="A136" s="4"/>
      <c r="B136" s="4"/>
      <c r="C136" s="4"/>
      <c r="D136" s="9"/>
      <c r="E136" s="10">
        <v>0.33333333333333331</v>
      </c>
      <c r="F136" s="4">
        <v>0</v>
      </c>
      <c r="G136" s="7"/>
      <c r="H136" s="7"/>
      <c r="I136" s="4"/>
    </row>
    <row r="137" spans="1:9" ht="13" x14ac:dyDescent="0.15">
      <c r="A137" s="4"/>
      <c r="B137" s="4"/>
      <c r="C137" s="4"/>
      <c r="D137" s="9"/>
      <c r="E137" s="10">
        <v>0.375</v>
      </c>
      <c r="F137" s="4">
        <v>0</v>
      </c>
      <c r="G137" s="7"/>
      <c r="H137" s="7"/>
      <c r="I137" s="4"/>
    </row>
    <row r="138" spans="1:9" ht="13" x14ac:dyDescent="0.15">
      <c r="A138" s="4"/>
      <c r="B138" s="4"/>
      <c r="C138" s="4"/>
      <c r="D138" s="9"/>
      <c r="E138" s="10">
        <v>0.37708333333333333</v>
      </c>
      <c r="F138" s="4">
        <v>1</v>
      </c>
      <c r="G138" s="7"/>
      <c r="H138" s="7"/>
      <c r="I138" s="4"/>
    </row>
    <row r="139" spans="1:9" ht="13" x14ac:dyDescent="0.15">
      <c r="A139" s="4"/>
      <c r="B139" s="4"/>
      <c r="C139" s="4">
        <v>0</v>
      </c>
      <c r="D139" s="9"/>
      <c r="E139" s="10">
        <v>0.41666666666666669</v>
      </c>
      <c r="F139" s="4">
        <v>0</v>
      </c>
      <c r="G139" s="7"/>
      <c r="H139" s="7"/>
      <c r="I139" s="4"/>
    </row>
    <row r="140" spans="1:9" ht="13" x14ac:dyDescent="0.15">
      <c r="A140" s="4"/>
      <c r="B140" s="4"/>
      <c r="C140" s="4">
        <v>0</v>
      </c>
      <c r="D140" s="9"/>
      <c r="E140" s="10">
        <v>0.45833333333333331</v>
      </c>
      <c r="F140" s="4">
        <v>0</v>
      </c>
      <c r="G140" s="7"/>
      <c r="H140" s="7"/>
      <c r="I140" s="4"/>
    </row>
    <row r="141" spans="1:9" ht="13" x14ac:dyDescent="0.15">
      <c r="A141" s="4"/>
      <c r="B141" s="4"/>
      <c r="C141" s="4">
        <v>0</v>
      </c>
      <c r="D141" s="9"/>
      <c r="E141" s="10">
        <v>0.5</v>
      </c>
      <c r="F141" s="4">
        <v>0</v>
      </c>
      <c r="G141" s="7"/>
      <c r="H141" s="7"/>
      <c r="I141" s="4"/>
    </row>
    <row r="142" spans="1:9" ht="13" x14ac:dyDescent="0.15">
      <c r="A142" s="4"/>
      <c r="B142" s="4"/>
      <c r="C142" s="4"/>
      <c r="D142" s="9"/>
      <c r="E142" s="10">
        <v>0.54166666666666663</v>
      </c>
      <c r="F142" s="4">
        <v>0</v>
      </c>
      <c r="G142" s="7"/>
      <c r="H142" s="7"/>
      <c r="I142" s="4"/>
    </row>
    <row r="143" spans="1:9" ht="13" x14ac:dyDescent="0.15">
      <c r="A143" s="4"/>
      <c r="B143" s="4"/>
      <c r="C143" s="4"/>
      <c r="D143" s="9"/>
      <c r="E143" s="10">
        <v>0.58333333333333337</v>
      </c>
      <c r="F143" s="4">
        <v>0</v>
      </c>
      <c r="G143" s="7"/>
      <c r="H143" s="7"/>
      <c r="I143" s="4"/>
    </row>
    <row r="144" spans="1:9" ht="13" x14ac:dyDescent="0.15">
      <c r="A144" s="4"/>
      <c r="B144" s="4"/>
      <c r="C144" s="4"/>
      <c r="D144" s="9"/>
      <c r="E144" s="10">
        <v>0.625</v>
      </c>
      <c r="F144" s="4">
        <v>0</v>
      </c>
      <c r="G144" s="7"/>
      <c r="H144" s="7"/>
      <c r="I144" s="4"/>
    </row>
    <row r="145" spans="1:9" ht="13" x14ac:dyDescent="0.15">
      <c r="A145" s="4"/>
      <c r="B145" s="4"/>
      <c r="C145" s="4"/>
      <c r="D145" s="9"/>
      <c r="E145" s="10">
        <v>0.66666666666666663</v>
      </c>
      <c r="F145" s="4">
        <v>0</v>
      </c>
      <c r="G145" s="7"/>
      <c r="H145" s="7"/>
      <c r="I145" s="4"/>
    </row>
    <row r="146" spans="1:9" ht="13" x14ac:dyDescent="0.15">
      <c r="A146" s="4"/>
      <c r="B146" s="4"/>
      <c r="C146" s="4"/>
      <c r="D146" s="9"/>
      <c r="E146" s="10">
        <v>0.70833333333333337</v>
      </c>
      <c r="F146" s="4">
        <v>0</v>
      </c>
      <c r="G146" s="7"/>
      <c r="H146" s="7"/>
      <c r="I146" s="4"/>
    </row>
    <row r="147" spans="1:9" ht="13" x14ac:dyDescent="0.15">
      <c r="A147" s="4"/>
      <c r="B147" s="4"/>
      <c r="C147" s="4"/>
      <c r="D147" s="9"/>
      <c r="E147" s="10">
        <v>0.75</v>
      </c>
      <c r="F147" s="4">
        <v>0</v>
      </c>
      <c r="G147" s="7"/>
      <c r="H147" s="7"/>
      <c r="I147" s="4"/>
    </row>
    <row r="148" spans="1:9" ht="13" x14ac:dyDescent="0.15">
      <c r="A148" s="4"/>
      <c r="B148" s="4"/>
      <c r="C148" s="4"/>
      <c r="D148" s="9"/>
      <c r="E148" s="10">
        <v>0.79166666666666663</v>
      </c>
      <c r="F148" s="4">
        <v>0</v>
      </c>
      <c r="G148" s="7"/>
      <c r="H148" s="7"/>
      <c r="I148" s="4"/>
    </row>
    <row r="149" spans="1:9" ht="13" x14ac:dyDescent="0.15">
      <c r="A149" s="4"/>
      <c r="B149" s="4"/>
      <c r="C149" s="4"/>
      <c r="D149" s="9"/>
      <c r="E149" s="10">
        <v>0.83333333333333337</v>
      </c>
      <c r="F149" s="4">
        <v>0</v>
      </c>
      <c r="G149" s="7"/>
      <c r="H149" s="7"/>
      <c r="I149" s="4"/>
    </row>
    <row r="150" spans="1:9" ht="13" x14ac:dyDescent="0.15">
      <c r="A150" s="4"/>
      <c r="B150" s="4"/>
      <c r="C150" s="4"/>
      <c r="D150" s="9"/>
      <c r="E150" s="10">
        <v>0.875</v>
      </c>
      <c r="F150" s="4">
        <v>0</v>
      </c>
      <c r="G150" s="7"/>
      <c r="H150" s="7"/>
      <c r="I150" s="4"/>
    </row>
    <row r="151" spans="1:9" ht="13" x14ac:dyDescent="0.15">
      <c r="A151" s="4"/>
      <c r="B151" s="4"/>
      <c r="C151" s="4"/>
      <c r="D151" s="9"/>
      <c r="E151" s="10">
        <v>0.91666666666666663</v>
      </c>
      <c r="F151" s="4">
        <v>0</v>
      </c>
      <c r="G151" s="7"/>
      <c r="H151" s="7"/>
      <c r="I151" s="4"/>
    </row>
    <row r="152" spans="1:9" ht="13" x14ac:dyDescent="0.15">
      <c r="A152" s="4"/>
      <c r="B152" s="4"/>
      <c r="C152" s="4"/>
      <c r="D152" s="9"/>
      <c r="E152" s="10">
        <v>0.95833333333333337</v>
      </c>
      <c r="F152" s="4">
        <v>1</v>
      </c>
      <c r="G152" s="7"/>
      <c r="H152" s="7"/>
      <c r="I152" s="4"/>
    </row>
    <row r="153" spans="1:9" ht="13" x14ac:dyDescent="0.15">
      <c r="A153" s="25"/>
      <c r="B153" s="26" t="s">
        <v>32</v>
      </c>
      <c r="C153" s="25">
        <v>0</v>
      </c>
      <c r="D153" s="35"/>
      <c r="E153" s="30"/>
      <c r="F153" s="25">
        <v>7</v>
      </c>
      <c r="G153" s="49">
        <f>COUNT(F126:F152)</f>
        <v>27</v>
      </c>
      <c r="H153" s="36"/>
      <c r="I153" s="25"/>
    </row>
    <row r="154" spans="1:9" ht="13" x14ac:dyDescent="0.15">
      <c r="A154" s="4" t="s">
        <v>40</v>
      </c>
      <c r="B154" s="4" t="s">
        <v>41</v>
      </c>
      <c r="C154" s="4">
        <v>0</v>
      </c>
      <c r="D154" s="9">
        <v>45875</v>
      </c>
      <c r="E154" s="10">
        <v>0</v>
      </c>
      <c r="F154" s="4">
        <v>1</v>
      </c>
      <c r="G154" s="7"/>
      <c r="H154" s="7" t="s">
        <v>42</v>
      </c>
      <c r="I154" s="4">
        <v>2</v>
      </c>
    </row>
    <row r="155" spans="1:9" ht="13" x14ac:dyDescent="0.15">
      <c r="A155" s="4"/>
      <c r="B155" s="4"/>
      <c r="C155" s="4"/>
      <c r="D155" s="9"/>
      <c r="E155" s="10">
        <v>4.1666666666666664E-2</v>
      </c>
      <c r="F155" s="4">
        <v>1</v>
      </c>
      <c r="G155" s="7"/>
      <c r="H155" s="7"/>
      <c r="I155" s="4"/>
    </row>
    <row r="156" spans="1:9" ht="13" x14ac:dyDescent="0.15">
      <c r="A156" s="4"/>
      <c r="B156" s="4"/>
      <c r="C156" s="4"/>
      <c r="D156" s="9"/>
      <c r="E156" s="10">
        <v>8.3333333333333329E-2</v>
      </c>
      <c r="F156" s="4">
        <v>1</v>
      </c>
      <c r="G156" s="7"/>
      <c r="H156" s="7"/>
      <c r="I156" s="4"/>
    </row>
    <row r="157" spans="1:9" ht="13" x14ac:dyDescent="0.15">
      <c r="A157" s="4"/>
      <c r="B157" s="4"/>
      <c r="C157" s="4">
        <v>0</v>
      </c>
      <c r="D157" s="9"/>
      <c r="E157" s="10">
        <v>0.12638888888888888</v>
      </c>
      <c r="F157" s="4">
        <v>0</v>
      </c>
      <c r="G157" s="7"/>
      <c r="H157" s="7"/>
      <c r="I157" s="4"/>
    </row>
    <row r="158" spans="1:9" ht="13" x14ac:dyDescent="0.15">
      <c r="C158" s="4">
        <v>0</v>
      </c>
      <c r="E158" s="10">
        <v>0.12708333333333333</v>
      </c>
      <c r="F158" s="4">
        <v>0</v>
      </c>
      <c r="I158" s="4">
        <v>3</v>
      </c>
    </row>
    <row r="159" spans="1:9" ht="13" x14ac:dyDescent="0.15">
      <c r="C159" s="4"/>
      <c r="E159" s="10">
        <v>0.16666666666666666</v>
      </c>
      <c r="F159" s="4">
        <v>0</v>
      </c>
      <c r="I159" s="4"/>
    </row>
    <row r="160" spans="1:9" ht="13" x14ac:dyDescent="0.15">
      <c r="C160" s="4"/>
      <c r="E160" s="10">
        <v>0.20833333333333334</v>
      </c>
      <c r="F160" s="4">
        <v>1</v>
      </c>
      <c r="I160" s="4"/>
    </row>
    <row r="161" spans="3:9" ht="13" x14ac:dyDescent="0.15">
      <c r="C161" s="4">
        <v>0</v>
      </c>
      <c r="E161" s="10">
        <v>0.25208333333333333</v>
      </c>
      <c r="F161" s="4">
        <v>1</v>
      </c>
      <c r="I161" s="4"/>
    </row>
    <row r="162" spans="3:9" ht="13" x14ac:dyDescent="0.15">
      <c r="C162" s="4">
        <v>0</v>
      </c>
      <c r="E162" s="10">
        <v>0.29166666666666669</v>
      </c>
      <c r="F162" s="4">
        <v>0</v>
      </c>
      <c r="I162" s="4"/>
    </row>
    <row r="163" spans="3:9" ht="13" x14ac:dyDescent="0.15">
      <c r="C163" s="4">
        <v>0</v>
      </c>
      <c r="E163" s="10">
        <v>0.33333333333333331</v>
      </c>
      <c r="F163" s="4">
        <v>0</v>
      </c>
      <c r="I163" s="4"/>
    </row>
    <row r="164" spans="3:9" ht="13" x14ac:dyDescent="0.15">
      <c r="C164" s="4">
        <v>0</v>
      </c>
      <c r="E164" s="10">
        <v>0.375</v>
      </c>
      <c r="F164" s="4">
        <v>0</v>
      </c>
      <c r="I164" s="4"/>
    </row>
    <row r="165" spans="3:9" ht="13" x14ac:dyDescent="0.15">
      <c r="C165" s="4"/>
      <c r="E165" s="10">
        <v>0.41666666666666669</v>
      </c>
      <c r="F165" s="4">
        <v>0</v>
      </c>
      <c r="I165" s="4"/>
    </row>
    <row r="166" spans="3:9" ht="13" x14ac:dyDescent="0.15">
      <c r="C166" s="4"/>
      <c r="E166" s="10">
        <v>0.45833333333333331</v>
      </c>
      <c r="F166" s="4">
        <v>0</v>
      </c>
      <c r="I166" s="4"/>
    </row>
    <row r="167" spans="3:9" ht="13" x14ac:dyDescent="0.15">
      <c r="C167" s="4"/>
      <c r="E167" s="10">
        <v>0.5</v>
      </c>
      <c r="F167" s="4">
        <v>0</v>
      </c>
      <c r="I167" s="4"/>
    </row>
    <row r="168" spans="3:9" ht="13" x14ac:dyDescent="0.15">
      <c r="C168" s="4"/>
      <c r="E168" s="10">
        <v>0.54166666666666663</v>
      </c>
      <c r="F168" s="4">
        <v>0</v>
      </c>
      <c r="I168" s="4"/>
    </row>
    <row r="169" spans="3:9" ht="13" x14ac:dyDescent="0.15">
      <c r="C169" s="4"/>
      <c r="E169" s="10">
        <v>0.58333333333333337</v>
      </c>
      <c r="F169" s="4">
        <v>0</v>
      </c>
      <c r="I169" s="4"/>
    </row>
    <row r="170" spans="3:9" ht="13" x14ac:dyDescent="0.15">
      <c r="C170" s="4"/>
      <c r="E170" s="10">
        <v>0.625</v>
      </c>
      <c r="F170" s="4">
        <v>0</v>
      </c>
      <c r="I170" s="4"/>
    </row>
    <row r="171" spans="3:9" ht="13" x14ac:dyDescent="0.15">
      <c r="C171" s="4"/>
      <c r="E171" s="10">
        <v>0.66666666666666663</v>
      </c>
      <c r="F171" s="4">
        <v>0</v>
      </c>
      <c r="I171" s="4"/>
    </row>
    <row r="172" spans="3:9" ht="13" x14ac:dyDescent="0.15">
      <c r="C172" s="4"/>
      <c r="E172" s="10">
        <v>0.70833333333333337</v>
      </c>
      <c r="F172" s="4">
        <v>0</v>
      </c>
      <c r="I172" s="4"/>
    </row>
    <row r="173" spans="3:9" ht="13" x14ac:dyDescent="0.15">
      <c r="C173" s="4"/>
      <c r="E173" s="10">
        <v>0.75</v>
      </c>
      <c r="F173" s="4">
        <v>0</v>
      </c>
      <c r="I173" s="4"/>
    </row>
    <row r="174" spans="3:9" ht="13" x14ac:dyDescent="0.15">
      <c r="C174" s="4"/>
      <c r="E174" s="10">
        <v>0.79166666666666663</v>
      </c>
      <c r="F174" s="4">
        <v>0</v>
      </c>
      <c r="I174" s="4"/>
    </row>
    <row r="175" spans="3:9" ht="13" x14ac:dyDescent="0.15">
      <c r="C175" s="4"/>
      <c r="E175" s="10">
        <v>0.83333333333333337</v>
      </c>
      <c r="F175" s="4">
        <v>0</v>
      </c>
      <c r="I175" s="4"/>
    </row>
    <row r="176" spans="3:9" ht="13" x14ac:dyDescent="0.15">
      <c r="C176" s="4"/>
      <c r="E176" s="10">
        <v>0.875</v>
      </c>
      <c r="F176" s="4">
        <v>0</v>
      </c>
      <c r="I176" s="4"/>
    </row>
    <row r="177" spans="1:9" ht="13" x14ac:dyDescent="0.15">
      <c r="C177" s="4"/>
      <c r="E177" s="10">
        <v>0.91666666666666663</v>
      </c>
      <c r="F177" s="4">
        <v>0</v>
      </c>
      <c r="I177" s="4"/>
    </row>
    <row r="178" spans="1:9" ht="13" x14ac:dyDescent="0.15">
      <c r="C178" s="4"/>
      <c r="E178" s="10">
        <v>0.95833333333333337</v>
      </c>
      <c r="F178" s="4">
        <v>0</v>
      </c>
      <c r="I178" s="4"/>
    </row>
    <row r="179" spans="1:9" ht="13" x14ac:dyDescent="0.15">
      <c r="A179" s="25"/>
      <c r="B179" s="26" t="s">
        <v>32</v>
      </c>
      <c r="C179" s="26">
        <f>SUM(C154:C158)</f>
        <v>0</v>
      </c>
      <c r="D179" s="26"/>
      <c r="E179" s="26"/>
      <c r="F179" s="26">
        <v>5</v>
      </c>
      <c r="G179" s="26">
        <f>COUNT(F154:F178)</f>
        <v>25</v>
      </c>
      <c r="H179" s="25"/>
      <c r="I179" s="25"/>
    </row>
    <row r="180" spans="1:9" ht="13" x14ac:dyDescent="0.15">
      <c r="A180" s="4" t="s">
        <v>40</v>
      </c>
      <c r="B180" s="4" t="s">
        <v>41</v>
      </c>
      <c r="C180" s="2"/>
      <c r="D180" s="9">
        <v>45876</v>
      </c>
      <c r="E180" s="10">
        <v>0</v>
      </c>
      <c r="F180" s="4">
        <v>0</v>
      </c>
      <c r="G180" s="7"/>
      <c r="H180" s="7" t="s">
        <v>42</v>
      </c>
    </row>
    <row r="181" spans="1:9" ht="13" x14ac:dyDescent="0.15">
      <c r="B181" s="4"/>
      <c r="E181" s="10">
        <v>4.1666666666666664E-2</v>
      </c>
      <c r="F181" s="4">
        <v>0</v>
      </c>
    </row>
    <row r="182" spans="1:9" ht="13" x14ac:dyDescent="0.15">
      <c r="B182" s="4"/>
      <c r="E182" s="10">
        <v>8.3333333333333329E-2</v>
      </c>
      <c r="F182" s="4">
        <v>1</v>
      </c>
    </row>
    <row r="183" spans="1:9" ht="13" x14ac:dyDescent="0.15">
      <c r="B183" s="4"/>
      <c r="E183" s="10">
        <v>0.12638888888888888</v>
      </c>
      <c r="F183" s="4">
        <v>0</v>
      </c>
    </row>
    <row r="184" spans="1:9" ht="13" x14ac:dyDescent="0.15">
      <c r="B184" s="4"/>
      <c r="E184" s="10">
        <v>0.12708333333333333</v>
      </c>
      <c r="F184" s="4">
        <v>1</v>
      </c>
    </row>
    <row r="185" spans="1:9" ht="13" x14ac:dyDescent="0.15">
      <c r="B185" s="4"/>
      <c r="E185" s="10">
        <v>0.16666666666666666</v>
      </c>
      <c r="F185" s="4">
        <v>1</v>
      </c>
    </row>
    <row r="186" spans="1:9" ht="13" x14ac:dyDescent="0.15">
      <c r="B186" s="4"/>
      <c r="E186" s="10">
        <v>0.20833333333333334</v>
      </c>
      <c r="F186" s="4">
        <v>0</v>
      </c>
    </row>
    <row r="187" spans="1:9" ht="13" x14ac:dyDescent="0.15">
      <c r="B187" s="4"/>
      <c r="E187" s="10">
        <v>0.25208333333333333</v>
      </c>
      <c r="F187" s="4">
        <v>1</v>
      </c>
    </row>
    <row r="188" spans="1:9" ht="13" x14ac:dyDescent="0.15">
      <c r="B188" s="4"/>
      <c r="E188" s="10">
        <v>0.29166666666666669</v>
      </c>
      <c r="F188" s="4">
        <v>0</v>
      </c>
    </row>
    <row r="189" spans="1:9" ht="13" x14ac:dyDescent="0.15">
      <c r="B189" s="4"/>
      <c r="E189" s="10">
        <v>0.33333333333333331</v>
      </c>
      <c r="F189" s="4">
        <v>0</v>
      </c>
    </row>
    <row r="190" spans="1:9" ht="13" x14ac:dyDescent="0.15">
      <c r="B190" s="4"/>
      <c r="E190" s="10">
        <v>0.375</v>
      </c>
      <c r="F190" s="4">
        <v>0</v>
      </c>
    </row>
    <row r="191" spans="1:9" ht="13" x14ac:dyDescent="0.15">
      <c r="B191" s="4"/>
      <c r="E191" s="10">
        <v>0.41666666666666669</v>
      </c>
      <c r="F191" s="4">
        <v>0</v>
      </c>
    </row>
    <row r="192" spans="1:9" ht="13" x14ac:dyDescent="0.15">
      <c r="B192" s="4"/>
      <c r="E192" s="10">
        <v>0.45833333333333331</v>
      </c>
      <c r="F192" s="4">
        <v>0</v>
      </c>
    </row>
    <row r="193" spans="1:9" ht="13" x14ac:dyDescent="0.15">
      <c r="B193" s="4"/>
      <c r="E193" s="10">
        <v>0.5</v>
      </c>
      <c r="F193" s="4">
        <v>0</v>
      </c>
    </row>
    <row r="194" spans="1:9" ht="13" x14ac:dyDescent="0.15">
      <c r="B194" s="4"/>
      <c r="E194" s="10">
        <v>0.54166666666666663</v>
      </c>
      <c r="F194" s="4">
        <v>0</v>
      </c>
    </row>
    <row r="195" spans="1:9" ht="13" x14ac:dyDescent="0.15">
      <c r="B195" s="4"/>
      <c r="E195" s="10">
        <v>0.58333333333333337</v>
      </c>
      <c r="F195" s="4">
        <v>0</v>
      </c>
    </row>
    <row r="196" spans="1:9" ht="13" x14ac:dyDescent="0.15">
      <c r="B196" s="4"/>
      <c r="E196" s="10">
        <v>0.625</v>
      </c>
      <c r="F196" s="4">
        <v>0</v>
      </c>
    </row>
    <row r="197" spans="1:9" ht="13" x14ac:dyDescent="0.15">
      <c r="B197" s="4"/>
      <c r="E197" s="10">
        <v>0.66666666666666663</v>
      </c>
      <c r="F197" s="4">
        <v>0</v>
      </c>
    </row>
    <row r="198" spans="1:9" ht="13" x14ac:dyDescent="0.15">
      <c r="B198" s="4"/>
      <c r="E198" s="10">
        <v>0.70833333333333337</v>
      </c>
      <c r="F198" s="4">
        <v>0</v>
      </c>
    </row>
    <row r="199" spans="1:9" ht="13" x14ac:dyDescent="0.15">
      <c r="B199" s="4"/>
      <c r="E199" s="10">
        <v>0.75</v>
      </c>
      <c r="F199" s="4">
        <v>0</v>
      </c>
    </row>
    <row r="200" spans="1:9" ht="13" x14ac:dyDescent="0.15">
      <c r="B200" s="4"/>
      <c r="E200" s="10">
        <v>0.79166666666666663</v>
      </c>
      <c r="F200" s="4">
        <v>0</v>
      </c>
    </row>
    <row r="201" spans="1:9" ht="13" x14ac:dyDescent="0.15">
      <c r="B201" s="4"/>
      <c r="E201" s="10">
        <v>0.83333333333333337</v>
      </c>
      <c r="F201" s="4">
        <v>0</v>
      </c>
    </row>
    <row r="202" spans="1:9" ht="13" x14ac:dyDescent="0.15">
      <c r="B202" s="4"/>
      <c r="E202" s="10">
        <v>0.875</v>
      </c>
      <c r="F202" s="4">
        <v>0</v>
      </c>
    </row>
    <row r="203" spans="1:9" ht="13" x14ac:dyDescent="0.15">
      <c r="B203" s="4"/>
      <c r="E203" s="10">
        <v>0.91666666666666663</v>
      </c>
      <c r="F203" s="4">
        <v>0</v>
      </c>
    </row>
    <row r="204" spans="1:9" ht="13" x14ac:dyDescent="0.15">
      <c r="B204" s="4"/>
      <c r="E204" s="10">
        <v>0.95833333333333337</v>
      </c>
      <c r="F204" s="4">
        <v>0</v>
      </c>
    </row>
    <row r="205" spans="1:9" ht="13" x14ac:dyDescent="0.15">
      <c r="A205" s="25"/>
      <c r="B205" s="26" t="s">
        <v>51</v>
      </c>
      <c r="C205" s="26"/>
      <c r="D205" s="26"/>
      <c r="E205" s="26"/>
      <c r="F205" s="26">
        <v>4</v>
      </c>
      <c r="G205" s="26">
        <f>COUNT(F180:F204)</f>
        <v>25</v>
      </c>
      <c r="H205" s="25"/>
      <c r="I205" s="25"/>
    </row>
    <row r="206" spans="1:9" ht="13" x14ac:dyDescent="0.15">
      <c r="A206" s="4" t="s">
        <v>40</v>
      </c>
      <c r="B206" s="4" t="s">
        <v>41</v>
      </c>
      <c r="C206" s="2"/>
      <c r="D206" s="9">
        <v>45877</v>
      </c>
      <c r="E206" s="10">
        <v>0</v>
      </c>
      <c r="F206" s="2">
        <v>1</v>
      </c>
      <c r="G206" s="7"/>
      <c r="H206" s="7" t="s">
        <v>42</v>
      </c>
    </row>
    <row r="207" spans="1:9" ht="13" x14ac:dyDescent="0.15">
      <c r="B207" s="4"/>
      <c r="E207" s="10">
        <v>4.1666666666666664E-2</v>
      </c>
      <c r="F207" s="4">
        <v>1</v>
      </c>
    </row>
    <row r="208" spans="1:9" ht="13" x14ac:dyDescent="0.15">
      <c r="B208" s="4"/>
      <c r="E208" s="10">
        <v>8.3333333333333329E-2</v>
      </c>
      <c r="F208" s="4">
        <v>1</v>
      </c>
    </row>
    <row r="209" spans="2:6" ht="13" x14ac:dyDescent="0.15">
      <c r="B209" s="4"/>
      <c r="E209" s="10">
        <v>0.12638888888888888</v>
      </c>
      <c r="F209" s="4">
        <v>0</v>
      </c>
    </row>
    <row r="210" spans="2:6" ht="13" x14ac:dyDescent="0.15">
      <c r="B210" s="4"/>
      <c r="E210" s="10">
        <v>0.12708333333333333</v>
      </c>
      <c r="F210" s="4">
        <v>0</v>
      </c>
    </row>
    <row r="211" spans="2:6" ht="13" x14ac:dyDescent="0.15">
      <c r="B211" s="4"/>
      <c r="E211" s="10">
        <v>0.16666666666666666</v>
      </c>
      <c r="F211" s="4">
        <v>1</v>
      </c>
    </row>
    <row r="212" spans="2:6" ht="13" x14ac:dyDescent="0.15">
      <c r="B212" s="4"/>
      <c r="E212" s="10">
        <v>0.20833333333333334</v>
      </c>
      <c r="F212" s="4">
        <v>0</v>
      </c>
    </row>
    <row r="213" spans="2:6" ht="13" x14ac:dyDescent="0.15">
      <c r="B213" s="4"/>
      <c r="E213" s="10">
        <v>0.25208333333333333</v>
      </c>
      <c r="F213" s="4">
        <v>0</v>
      </c>
    </row>
    <row r="214" spans="2:6" ht="13" x14ac:dyDescent="0.15">
      <c r="B214" s="4"/>
      <c r="E214" s="10">
        <v>0.29166666666666669</v>
      </c>
      <c r="F214" s="4">
        <v>0</v>
      </c>
    </row>
    <row r="215" spans="2:6" ht="13" x14ac:dyDescent="0.15">
      <c r="B215" s="4"/>
      <c r="E215" s="10">
        <v>0.33333333333333331</v>
      </c>
      <c r="F215" s="4">
        <v>0</v>
      </c>
    </row>
    <row r="216" spans="2:6" ht="13" x14ac:dyDescent="0.15">
      <c r="B216" s="4"/>
      <c r="E216" s="10">
        <v>0.375</v>
      </c>
      <c r="F216" s="4">
        <v>0</v>
      </c>
    </row>
    <row r="217" spans="2:6" ht="13" x14ac:dyDescent="0.15">
      <c r="B217" s="4"/>
      <c r="E217" s="10">
        <v>0.41666666666666669</v>
      </c>
      <c r="F217" s="4">
        <v>0</v>
      </c>
    </row>
    <row r="218" spans="2:6" ht="13" x14ac:dyDescent="0.15">
      <c r="B218" s="4"/>
      <c r="E218" s="10">
        <v>0.45833333333333331</v>
      </c>
      <c r="F218" s="4">
        <v>0</v>
      </c>
    </row>
    <row r="219" spans="2:6" ht="13" x14ac:dyDescent="0.15">
      <c r="B219" s="4"/>
      <c r="E219" s="10">
        <v>0.5</v>
      </c>
      <c r="F219" s="4">
        <v>0</v>
      </c>
    </row>
    <row r="220" spans="2:6" ht="13" x14ac:dyDescent="0.15">
      <c r="B220" s="4"/>
      <c r="E220" s="10">
        <v>0.54166666666666663</v>
      </c>
      <c r="F220" s="4">
        <v>0</v>
      </c>
    </row>
    <row r="221" spans="2:6" ht="13" x14ac:dyDescent="0.15">
      <c r="B221" s="4"/>
      <c r="E221" s="10">
        <v>0.58333333333333337</v>
      </c>
      <c r="F221" s="4">
        <v>0</v>
      </c>
    </row>
    <row r="222" spans="2:6" ht="13" x14ac:dyDescent="0.15">
      <c r="B222" s="4"/>
      <c r="E222" s="10">
        <v>0.625</v>
      </c>
      <c r="F222" s="4">
        <v>0</v>
      </c>
    </row>
    <row r="223" spans="2:6" ht="13" x14ac:dyDescent="0.15">
      <c r="B223" s="4"/>
      <c r="E223" s="10">
        <v>0.66666666666666663</v>
      </c>
      <c r="F223" s="4">
        <v>0</v>
      </c>
    </row>
    <row r="224" spans="2:6" ht="13" x14ac:dyDescent="0.15">
      <c r="B224" s="4"/>
      <c r="E224" s="10">
        <v>0.70833333333333337</v>
      </c>
      <c r="F224" s="4">
        <v>0</v>
      </c>
    </row>
    <row r="225" spans="1:9" ht="13" x14ac:dyDescent="0.15">
      <c r="B225" s="4"/>
      <c r="E225" s="10">
        <v>0.75</v>
      </c>
      <c r="F225" s="4">
        <v>0</v>
      </c>
    </row>
    <row r="226" spans="1:9" ht="13" x14ac:dyDescent="0.15">
      <c r="B226" s="4"/>
      <c r="E226" s="10">
        <v>0.79166666666666663</v>
      </c>
      <c r="F226" s="4">
        <v>0</v>
      </c>
    </row>
    <row r="227" spans="1:9" ht="13" x14ac:dyDescent="0.15">
      <c r="B227" s="4"/>
      <c r="E227" s="10">
        <v>0.83333333333333337</v>
      </c>
      <c r="F227" s="4">
        <v>0</v>
      </c>
    </row>
    <row r="228" spans="1:9" ht="13" x14ac:dyDescent="0.15">
      <c r="B228" s="4"/>
      <c r="E228" s="10">
        <v>0.875</v>
      </c>
      <c r="F228" s="4">
        <v>0</v>
      </c>
    </row>
    <row r="229" spans="1:9" ht="13" x14ac:dyDescent="0.15">
      <c r="B229" s="4"/>
      <c r="E229" s="10">
        <v>0.91666666666666663</v>
      </c>
      <c r="F229" s="4">
        <v>1</v>
      </c>
    </row>
    <row r="230" spans="1:9" ht="13" x14ac:dyDescent="0.15">
      <c r="B230" s="4"/>
      <c r="E230" s="10">
        <v>0.95833333333333337</v>
      </c>
      <c r="F230" s="4">
        <v>1</v>
      </c>
    </row>
    <row r="231" spans="1:9" ht="13" x14ac:dyDescent="0.15">
      <c r="B231" s="4"/>
      <c r="F231" s="4">
        <v>0</v>
      </c>
    </row>
    <row r="232" spans="1:9" ht="13" x14ac:dyDescent="0.15">
      <c r="A232" s="29"/>
      <c r="B232" s="31" t="s">
        <v>51</v>
      </c>
      <c r="C232" s="31"/>
      <c r="D232" s="31"/>
      <c r="E232" s="31"/>
      <c r="F232" s="31">
        <v>6</v>
      </c>
      <c r="G232" s="31">
        <f>COUNT(F206:F231)</f>
        <v>26</v>
      </c>
      <c r="H232" s="29"/>
      <c r="I232" s="29"/>
    </row>
    <row r="233" spans="1:9" ht="14" x14ac:dyDescent="0.15">
      <c r="A233" s="4" t="s">
        <v>70</v>
      </c>
      <c r="B233" s="4" t="s">
        <v>18</v>
      </c>
      <c r="C233" s="4">
        <v>1</v>
      </c>
      <c r="D233" s="9">
        <v>45870</v>
      </c>
      <c r="E233" s="10">
        <v>0.83333333333333337</v>
      </c>
      <c r="F233" s="4">
        <v>1</v>
      </c>
      <c r="G233" s="16"/>
      <c r="H233" s="16" t="s">
        <v>21</v>
      </c>
      <c r="I233" s="4">
        <v>1</v>
      </c>
    </row>
    <row r="234" spans="1:9" ht="13" x14ac:dyDescent="0.15">
      <c r="C234" s="4">
        <v>0</v>
      </c>
      <c r="E234" s="10">
        <v>0.83472222222222225</v>
      </c>
      <c r="F234" s="4">
        <v>0</v>
      </c>
      <c r="I234" s="4">
        <v>1</v>
      </c>
    </row>
    <row r="235" spans="1:9" ht="13" x14ac:dyDescent="0.15">
      <c r="C235" s="4">
        <v>0</v>
      </c>
      <c r="E235" s="10">
        <v>0.8354166666666667</v>
      </c>
      <c r="F235" s="4">
        <v>0</v>
      </c>
      <c r="I235" s="4">
        <v>1</v>
      </c>
    </row>
    <row r="236" spans="1:9" ht="13" x14ac:dyDescent="0.15">
      <c r="C236" s="4">
        <v>0</v>
      </c>
      <c r="E236" s="10">
        <v>0.83611111111111114</v>
      </c>
      <c r="F236" s="4">
        <v>0</v>
      </c>
      <c r="I236" s="4">
        <v>1</v>
      </c>
    </row>
    <row r="237" spans="1:9" ht="13" x14ac:dyDescent="0.15">
      <c r="A237" s="25"/>
      <c r="B237" s="26" t="s">
        <v>32</v>
      </c>
      <c r="C237" s="26">
        <v>1</v>
      </c>
      <c r="D237" s="50"/>
      <c r="E237" s="27"/>
      <c r="F237" s="26">
        <v>1</v>
      </c>
      <c r="G237" s="26">
        <f>COUNT(F233:F236)</f>
        <v>4</v>
      </c>
      <c r="H237" s="25"/>
      <c r="I237" s="25"/>
    </row>
    <row r="238" spans="1:9" ht="14" x14ac:dyDescent="0.15">
      <c r="A238" s="4" t="s">
        <v>70</v>
      </c>
      <c r="B238" s="4" t="s">
        <v>18</v>
      </c>
      <c r="C238" s="4">
        <v>0</v>
      </c>
      <c r="D238" s="9">
        <v>45871</v>
      </c>
      <c r="E238" s="10">
        <v>0.21111111111111111</v>
      </c>
      <c r="F238" s="4">
        <v>1</v>
      </c>
      <c r="G238" s="16"/>
      <c r="H238" s="16" t="s">
        <v>21</v>
      </c>
      <c r="I238" s="4">
        <v>2</v>
      </c>
    </row>
    <row r="239" spans="1:9" ht="13" x14ac:dyDescent="0.15">
      <c r="C239" s="4">
        <v>0</v>
      </c>
      <c r="E239" s="10">
        <v>0.25</v>
      </c>
      <c r="F239" s="4">
        <v>1</v>
      </c>
      <c r="I239" s="4">
        <v>3</v>
      </c>
    </row>
    <row r="240" spans="1:9" ht="13" x14ac:dyDescent="0.15">
      <c r="C240" s="4">
        <v>0</v>
      </c>
      <c r="E240" s="10">
        <v>0.95902777777777781</v>
      </c>
      <c r="F240" s="4">
        <v>1</v>
      </c>
      <c r="I240" s="4">
        <v>2</v>
      </c>
    </row>
    <row r="241" spans="1:9" ht="13" x14ac:dyDescent="0.15">
      <c r="C241" s="4">
        <v>0</v>
      </c>
      <c r="E241" s="10">
        <v>0.95972222222222225</v>
      </c>
      <c r="F241" s="4">
        <v>0</v>
      </c>
      <c r="I241" s="4">
        <v>2</v>
      </c>
    </row>
    <row r="242" spans="1:9" ht="13" x14ac:dyDescent="0.15">
      <c r="C242" s="4">
        <v>0</v>
      </c>
      <c r="E242" s="10">
        <v>0.9604166666666667</v>
      </c>
      <c r="F242" s="4">
        <v>0</v>
      </c>
      <c r="I242" s="4">
        <v>2</v>
      </c>
    </row>
    <row r="243" spans="1:9" ht="13" x14ac:dyDescent="0.15">
      <c r="A243" s="25"/>
      <c r="B243" s="26" t="s">
        <v>32</v>
      </c>
      <c r="C243" s="26">
        <v>0</v>
      </c>
      <c r="D243" s="26"/>
      <c r="E243" s="26"/>
      <c r="F243" s="26">
        <f>SUM(F238:F242)</f>
        <v>3</v>
      </c>
      <c r="G243" s="26">
        <f>COUNT(F238:F242)</f>
        <v>5</v>
      </c>
      <c r="H243" s="25"/>
      <c r="I243" s="25"/>
    </row>
    <row r="244" spans="1:9" ht="14" x14ac:dyDescent="0.15">
      <c r="A244" s="4" t="s">
        <v>70</v>
      </c>
      <c r="B244" s="4" t="s">
        <v>18</v>
      </c>
      <c r="C244" s="4">
        <v>0</v>
      </c>
      <c r="D244" s="9">
        <v>45875</v>
      </c>
      <c r="E244" s="10">
        <v>0.70902777777777781</v>
      </c>
      <c r="F244" s="4">
        <v>1</v>
      </c>
      <c r="G244" s="16"/>
      <c r="H244" s="16" t="s">
        <v>21</v>
      </c>
      <c r="I244" s="4">
        <v>2</v>
      </c>
    </row>
    <row r="245" spans="1:9" ht="13" x14ac:dyDescent="0.15">
      <c r="C245" s="4">
        <v>0</v>
      </c>
      <c r="E245" s="10">
        <v>0.79305555555555551</v>
      </c>
      <c r="F245" s="4">
        <v>1</v>
      </c>
      <c r="I245" s="4">
        <v>1</v>
      </c>
    </row>
    <row r="246" spans="1:9" ht="13" x14ac:dyDescent="0.15">
      <c r="A246" s="25"/>
      <c r="B246" s="26" t="s">
        <v>32</v>
      </c>
      <c r="C246" s="26">
        <v>0</v>
      </c>
      <c r="D246" s="25"/>
      <c r="E246" s="25"/>
      <c r="F246" s="26">
        <f>SUM(F244:F245)</f>
        <v>2</v>
      </c>
      <c r="G246" s="26">
        <f>COUNT(F244:F245)</f>
        <v>2</v>
      </c>
      <c r="H246" s="25"/>
      <c r="I246" s="25"/>
    </row>
    <row r="247" spans="1:9" ht="14" x14ac:dyDescent="0.15">
      <c r="A247" s="4" t="s">
        <v>70</v>
      </c>
      <c r="B247" s="4" t="s">
        <v>18</v>
      </c>
      <c r="C247" s="4">
        <v>0</v>
      </c>
      <c r="D247" s="9">
        <v>45877</v>
      </c>
      <c r="E247" s="10">
        <v>0</v>
      </c>
      <c r="F247" s="4">
        <v>1</v>
      </c>
      <c r="G247" s="16"/>
      <c r="H247" s="16" t="s">
        <v>21</v>
      </c>
      <c r="I247" s="4">
        <v>3</v>
      </c>
    </row>
    <row r="248" spans="1:9" ht="13" x14ac:dyDescent="0.15">
      <c r="C248" s="4">
        <v>0</v>
      </c>
      <c r="E248" s="10">
        <v>2.7777777777777779E-3</v>
      </c>
      <c r="F248" s="4">
        <v>0</v>
      </c>
      <c r="I248" s="4">
        <v>3</v>
      </c>
    </row>
    <row r="249" spans="1:9" ht="13" x14ac:dyDescent="0.15">
      <c r="C249" s="4">
        <v>0</v>
      </c>
      <c r="E249" s="10">
        <v>4.1666666666666664E-2</v>
      </c>
      <c r="F249" s="4">
        <v>1</v>
      </c>
      <c r="I249" s="4">
        <v>4</v>
      </c>
    </row>
    <row r="250" spans="1:9" ht="13" x14ac:dyDescent="0.15">
      <c r="A250" s="29"/>
      <c r="B250" s="31" t="s">
        <v>32</v>
      </c>
      <c r="C250" s="31">
        <v>0</v>
      </c>
      <c r="D250" s="29"/>
      <c r="E250" s="29"/>
      <c r="F250" s="31">
        <f>SUM(F247:F249)</f>
        <v>2</v>
      </c>
      <c r="G250" s="31">
        <f>COUNT(F247:F249)</f>
        <v>3</v>
      </c>
      <c r="H250" s="29"/>
      <c r="I250" s="29"/>
    </row>
    <row r="251" spans="1:9" ht="13" x14ac:dyDescent="0.15">
      <c r="A251" s="4" t="s">
        <v>40</v>
      </c>
      <c r="B251" s="4" t="s">
        <v>52</v>
      </c>
      <c r="C251" s="4">
        <v>0</v>
      </c>
      <c r="D251" s="9">
        <v>45870</v>
      </c>
      <c r="E251" s="10">
        <v>0.875</v>
      </c>
      <c r="F251" s="4">
        <v>1</v>
      </c>
      <c r="G251" s="7"/>
      <c r="H251" s="7" t="s">
        <v>49</v>
      </c>
    </row>
    <row r="252" spans="1:9" ht="13" x14ac:dyDescent="0.15">
      <c r="C252" s="4">
        <v>0</v>
      </c>
      <c r="E252" s="10">
        <v>0.91736111111111107</v>
      </c>
      <c r="F252" s="4">
        <v>1</v>
      </c>
    </row>
    <row r="253" spans="1:9" ht="13" x14ac:dyDescent="0.15">
      <c r="C253" s="4">
        <v>0</v>
      </c>
      <c r="E253" s="10">
        <v>0.95902777777777781</v>
      </c>
      <c r="F253" s="4">
        <v>1</v>
      </c>
    </row>
    <row r="254" spans="1:9" ht="13" x14ac:dyDescent="0.15">
      <c r="C254" s="4">
        <v>0</v>
      </c>
      <c r="E254" s="10">
        <v>0.96111111111111114</v>
      </c>
      <c r="F254" s="4">
        <v>0</v>
      </c>
    </row>
    <row r="255" spans="1:9" ht="13" x14ac:dyDescent="0.15">
      <c r="A255" s="25"/>
      <c r="B255" s="26" t="s">
        <v>32</v>
      </c>
      <c r="C255" s="26">
        <v>0</v>
      </c>
      <c r="D255" s="25"/>
      <c r="E255" s="25"/>
      <c r="F255" s="26">
        <f>SUM(F251:F254)</f>
        <v>3</v>
      </c>
      <c r="G255" s="26">
        <f>COUNT(F251:F254)</f>
        <v>4</v>
      </c>
      <c r="H255" s="25"/>
      <c r="I255" s="25"/>
    </row>
    <row r="256" spans="1:9" ht="13" x14ac:dyDescent="0.15">
      <c r="A256" s="4" t="s">
        <v>40</v>
      </c>
      <c r="B256" s="4" t="s">
        <v>52</v>
      </c>
      <c r="C256" s="4">
        <v>0</v>
      </c>
      <c r="D256" s="9">
        <v>45871</v>
      </c>
      <c r="E256" s="10">
        <v>6.9444444444444447E-4</v>
      </c>
      <c r="F256" s="4">
        <v>1</v>
      </c>
      <c r="G256" s="7"/>
      <c r="H256" s="7" t="s">
        <v>49</v>
      </c>
    </row>
    <row r="257" spans="3:6" ht="13" x14ac:dyDescent="0.15">
      <c r="C257" s="4">
        <v>0</v>
      </c>
      <c r="E257" s="10">
        <v>1.3888888888888889E-3</v>
      </c>
      <c r="F257" s="4">
        <v>0</v>
      </c>
    </row>
    <row r="258" spans="3:6" ht="13" x14ac:dyDescent="0.15">
      <c r="C258" s="4">
        <v>0</v>
      </c>
      <c r="E258" s="10">
        <v>4.2361111111111113E-2</v>
      </c>
      <c r="F258" s="4">
        <v>1</v>
      </c>
    </row>
    <row r="259" spans="3:6" ht="13" x14ac:dyDescent="0.15">
      <c r="C259" s="4">
        <v>0</v>
      </c>
      <c r="E259" s="10">
        <v>4.3055555555555555E-2</v>
      </c>
      <c r="F259" s="4">
        <v>0</v>
      </c>
    </row>
    <row r="260" spans="3:6" ht="13" x14ac:dyDescent="0.15">
      <c r="C260" s="4">
        <v>0</v>
      </c>
      <c r="E260" s="10">
        <v>4.3749999999999997E-2</v>
      </c>
      <c r="F260" s="4">
        <v>0</v>
      </c>
    </row>
    <row r="261" spans="3:6" ht="13" x14ac:dyDescent="0.15">
      <c r="C261" s="4">
        <v>0</v>
      </c>
      <c r="E261" s="10">
        <v>4.4444444444444446E-2</v>
      </c>
      <c r="F261" s="4">
        <v>0</v>
      </c>
    </row>
    <row r="262" spans="3:6" ht="13" x14ac:dyDescent="0.15">
      <c r="C262" s="4">
        <v>0</v>
      </c>
      <c r="E262" s="10">
        <v>8.3333333333333329E-2</v>
      </c>
      <c r="F262" s="4">
        <v>1</v>
      </c>
    </row>
    <row r="263" spans="3:6" ht="13" x14ac:dyDescent="0.15">
      <c r="C263" s="4">
        <v>0</v>
      </c>
      <c r="E263" s="10">
        <v>8.4027777777777785E-2</v>
      </c>
      <c r="F263" s="4">
        <v>0</v>
      </c>
    </row>
    <row r="264" spans="3:6" ht="13" x14ac:dyDescent="0.15">
      <c r="C264" s="4">
        <v>0</v>
      </c>
      <c r="E264" s="10">
        <v>8.4722222222222227E-2</v>
      </c>
      <c r="F264" s="4">
        <v>0</v>
      </c>
    </row>
    <row r="265" spans="3:6" ht="13" x14ac:dyDescent="0.15">
      <c r="C265" s="4">
        <v>0</v>
      </c>
      <c r="E265" s="10">
        <v>8.5416666666666669E-2</v>
      </c>
      <c r="F265" s="4">
        <v>0</v>
      </c>
    </row>
    <row r="266" spans="3:6" ht="13" x14ac:dyDescent="0.15">
      <c r="C266" s="4">
        <v>0</v>
      </c>
      <c r="E266" s="10">
        <v>8.611111111111111E-2</v>
      </c>
      <c r="F266" s="4">
        <v>0</v>
      </c>
    </row>
    <row r="267" spans="3:6" ht="13" x14ac:dyDescent="0.15">
      <c r="C267" s="4">
        <v>0</v>
      </c>
      <c r="E267" s="10">
        <v>0.125</v>
      </c>
      <c r="F267" s="4">
        <v>1</v>
      </c>
    </row>
    <row r="268" spans="3:6" ht="13" x14ac:dyDescent="0.15">
      <c r="C268" s="4">
        <v>0</v>
      </c>
      <c r="E268" s="10">
        <v>0.12569444444444444</v>
      </c>
      <c r="F268" s="4">
        <v>0</v>
      </c>
    </row>
    <row r="269" spans="3:6" ht="13" x14ac:dyDescent="0.15">
      <c r="C269" s="4">
        <v>0</v>
      </c>
      <c r="E269" s="10">
        <v>0.12638888888888888</v>
      </c>
      <c r="F269" s="4">
        <v>0</v>
      </c>
    </row>
    <row r="270" spans="3:6" ht="13" x14ac:dyDescent="0.15">
      <c r="C270" s="4">
        <v>0</v>
      </c>
      <c r="E270" s="10">
        <v>0.12708333333333333</v>
      </c>
      <c r="F270" s="4">
        <v>0</v>
      </c>
    </row>
    <row r="271" spans="3:6" ht="13" x14ac:dyDescent="0.15">
      <c r="C271" s="4">
        <v>0</v>
      </c>
      <c r="E271" s="10">
        <v>0.12777777777777777</v>
      </c>
      <c r="F271" s="4">
        <v>0</v>
      </c>
    </row>
    <row r="272" spans="3:6" ht="13" x14ac:dyDescent="0.15">
      <c r="C272" s="4">
        <v>0</v>
      </c>
      <c r="E272" s="10">
        <v>0.16666666666666666</v>
      </c>
      <c r="F272" s="4">
        <v>1</v>
      </c>
    </row>
    <row r="273" spans="3:6" ht="13" x14ac:dyDescent="0.15">
      <c r="C273" s="4">
        <v>0</v>
      </c>
      <c r="E273" s="10">
        <v>0.1673611111111111</v>
      </c>
      <c r="F273" s="4">
        <v>0</v>
      </c>
    </row>
    <row r="274" spans="3:6" ht="13" x14ac:dyDescent="0.15">
      <c r="C274" s="4">
        <v>0</v>
      </c>
      <c r="E274" s="10">
        <v>0.16805555555555557</v>
      </c>
      <c r="F274" s="4">
        <v>0</v>
      </c>
    </row>
    <row r="275" spans="3:6" ht="13" x14ac:dyDescent="0.15">
      <c r="C275" s="4">
        <v>0</v>
      </c>
      <c r="E275" s="10">
        <v>0.16875000000000001</v>
      </c>
      <c r="F275" s="4">
        <v>0</v>
      </c>
    </row>
    <row r="276" spans="3:6" ht="13" x14ac:dyDescent="0.15">
      <c r="C276" s="4">
        <v>0</v>
      </c>
      <c r="E276" s="10">
        <v>0.16944444444444445</v>
      </c>
      <c r="F276" s="4">
        <v>0</v>
      </c>
    </row>
    <row r="277" spans="3:6" ht="13" x14ac:dyDescent="0.15">
      <c r="C277" s="4">
        <v>0</v>
      </c>
      <c r="E277" s="10">
        <v>0.20833333333333334</v>
      </c>
      <c r="F277" s="4">
        <v>1</v>
      </c>
    </row>
    <row r="278" spans="3:6" ht="13" x14ac:dyDescent="0.15">
      <c r="C278" s="4">
        <v>0</v>
      </c>
      <c r="E278" s="10">
        <v>0.20902777777777778</v>
      </c>
      <c r="F278" s="4">
        <v>0</v>
      </c>
    </row>
    <row r="279" spans="3:6" ht="13" x14ac:dyDescent="0.15">
      <c r="C279" s="4">
        <v>0</v>
      </c>
      <c r="E279" s="10">
        <v>0.20972222222222223</v>
      </c>
      <c r="F279" s="4">
        <v>0</v>
      </c>
    </row>
    <row r="280" spans="3:6" ht="13" x14ac:dyDescent="0.15">
      <c r="C280" s="4">
        <v>0</v>
      </c>
      <c r="E280" s="10">
        <v>0.21041666666666667</v>
      </c>
      <c r="F280" s="4">
        <v>0</v>
      </c>
    </row>
    <row r="281" spans="3:6" ht="13" x14ac:dyDescent="0.15">
      <c r="C281" s="4">
        <v>0</v>
      </c>
      <c r="E281" s="10">
        <v>0.21111111111111111</v>
      </c>
      <c r="F281" s="4">
        <v>0</v>
      </c>
    </row>
    <row r="282" spans="3:6" ht="13" x14ac:dyDescent="0.15">
      <c r="C282" s="4">
        <v>0</v>
      </c>
      <c r="E282" s="10">
        <v>0.25</v>
      </c>
      <c r="F282" s="4">
        <v>1</v>
      </c>
    </row>
    <row r="283" spans="3:6" ht="13" x14ac:dyDescent="0.15">
      <c r="C283" s="4">
        <v>0</v>
      </c>
      <c r="E283" s="10">
        <v>0.25069444444444444</v>
      </c>
      <c r="F283" s="4">
        <v>0</v>
      </c>
    </row>
    <row r="284" spans="3:6" ht="13" x14ac:dyDescent="0.15">
      <c r="C284" s="4">
        <v>0</v>
      </c>
      <c r="E284" s="10">
        <v>0.25138888888888888</v>
      </c>
      <c r="F284" s="4">
        <v>0</v>
      </c>
    </row>
    <row r="285" spans="3:6" ht="13" x14ac:dyDescent="0.15">
      <c r="C285" s="4">
        <v>0</v>
      </c>
      <c r="E285" s="10">
        <v>0.25208333333333333</v>
      </c>
      <c r="F285" s="4">
        <v>0</v>
      </c>
    </row>
    <row r="286" spans="3:6" ht="13" x14ac:dyDescent="0.15">
      <c r="C286" s="4">
        <v>0</v>
      </c>
      <c r="E286" s="10">
        <v>0.25277777777777777</v>
      </c>
      <c r="F286" s="4">
        <v>0</v>
      </c>
    </row>
    <row r="287" spans="3:6" ht="13" x14ac:dyDescent="0.15">
      <c r="C287" s="4">
        <v>0</v>
      </c>
      <c r="E287" s="10">
        <v>0.79374999999999996</v>
      </c>
      <c r="F287" s="4">
        <v>1</v>
      </c>
    </row>
    <row r="288" spans="3:6" ht="13" x14ac:dyDescent="0.15">
      <c r="C288" s="4">
        <v>0</v>
      </c>
      <c r="E288" s="10">
        <v>0.875</v>
      </c>
      <c r="F288" s="4">
        <v>1</v>
      </c>
    </row>
    <row r="289" spans="1:9" ht="13" x14ac:dyDescent="0.15">
      <c r="C289" s="4">
        <v>0</v>
      </c>
      <c r="E289" s="10">
        <v>0.87569444444444444</v>
      </c>
      <c r="F289" s="4">
        <v>0</v>
      </c>
    </row>
    <row r="290" spans="1:9" ht="13" x14ac:dyDescent="0.15">
      <c r="C290" s="4">
        <v>0</v>
      </c>
      <c r="E290" s="10">
        <v>0.91666666666666663</v>
      </c>
      <c r="F290" s="4">
        <v>1</v>
      </c>
    </row>
    <row r="291" spans="1:9" ht="13" x14ac:dyDescent="0.15">
      <c r="C291" s="4">
        <v>0</v>
      </c>
      <c r="E291" s="10">
        <v>0.91736111111111107</v>
      </c>
      <c r="F291" s="4">
        <v>0</v>
      </c>
    </row>
    <row r="292" spans="1:9" ht="13" x14ac:dyDescent="0.15">
      <c r="C292" s="4">
        <v>0</v>
      </c>
      <c r="E292" s="10">
        <v>0.91805555555555551</v>
      </c>
      <c r="F292" s="4">
        <v>0</v>
      </c>
    </row>
    <row r="293" spans="1:9" ht="13" x14ac:dyDescent="0.15">
      <c r="C293" s="4">
        <v>0</v>
      </c>
      <c r="E293" s="10">
        <v>0.91874999999999996</v>
      </c>
      <c r="F293" s="4">
        <v>0</v>
      </c>
    </row>
    <row r="294" spans="1:9" ht="13" x14ac:dyDescent="0.15">
      <c r="C294" s="4">
        <v>0</v>
      </c>
      <c r="E294" s="10">
        <v>0.9194444444444444</v>
      </c>
      <c r="F294" s="4">
        <v>0</v>
      </c>
    </row>
    <row r="295" spans="1:9" ht="13" x14ac:dyDescent="0.15">
      <c r="C295" s="4">
        <v>0</v>
      </c>
      <c r="E295" s="10">
        <v>0.95833333333333337</v>
      </c>
      <c r="F295" s="4">
        <v>1</v>
      </c>
    </row>
    <row r="296" spans="1:9" ht="13" x14ac:dyDescent="0.15">
      <c r="C296" s="4">
        <v>0</v>
      </c>
      <c r="E296" s="10">
        <v>0.95902777777777781</v>
      </c>
      <c r="F296" s="4">
        <v>0</v>
      </c>
    </row>
    <row r="297" spans="1:9" ht="13" x14ac:dyDescent="0.15">
      <c r="C297" s="4">
        <v>0</v>
      </c>
      <c r="E297" s="10">
        <v>0.95972222222222225</v>
      </c>
      <c r="F297" s="4">
        <v>0</v>
      </c>
    </row>
    <row r="298" spans="1:9" ht="13" x14ac:dyDescent="0.15">
      <c r="C298" s="4">
        <v>0</v>
      </c>
      <c r="E298" s="10">
        <v>0.9604166666666667</v>
      </c>
      <c r="F298" s="4">
        <v>0</v>
      </c>
    </row>
    <row r="299" spans="1:9" ht="13" x14ac:dyDescent="0.15">
      <c r="C299" s="4">
        <v>0</v>
      </c>
      <c r="E299" s="10">
        <v>0.96111111111111114</v>
      </c>
      <c r="F299" s="4">
        <v>0</v>
      </c>
    </row>
    <row r="300" spans="1:9" ht="13" x14ac:dyDescent="0.15">
      <c r="A300" s="25"/>
      <c r="B300" s="26" t="s">
        <v>71</v>
      </c>
      <c r="C300" s="26">
        <v>0</v>
      </c>
      <c r="D300" s="25"/>
      <c r="E300" s="25"/>
      <c r="F300" s="26">
        <f>SUM(F256:F299)</f>
        <v>11</v>
      </c>
      <c r="G300" s="26">
        <f>COUNT(F256:F299)</f>
        <v>44</v>
      </c>
      <c r="H300" s="25"/>
      <c r="I300" s="25"/>
    </row>
    <row r="301" spans="1:9" ht="13" x14ac:dyDescent="0.15">
      <c r="A301" s="4" t="s">
        <v>40</v>
      </c>
      <c r="B301" s="4" t="s">
        <v>52</v>
      </c>
      <c r="C301" s="4">
        <v>0</v>
      </c>
      <c r="D301" s="9">
        <v>45872</v>
      </c>
      <c r="E301" s="10">
        <v>0</v>
      </c>
      <c r="F301" s="4">
        <v>1</v>
      </c>
      <c r="G301" s="7"/>
      <c r="H301" s="7" t="s">
        <v>49</v>
      </c>
    </row>
    <row r="302" spans="1:9" ht="13" x14ac:dyDescent="0.15">
      <c r="C302" s="4">
        <v>0</v>
      </c>
      <c r="E302" s="10">
        <v>6.9444444444444447E-4</v>
      </c>
      <c r="F302" s="4">
        <v>0</v>
      </c>
    </row>
    <row r="303" spans="1:9" ht="13" x14ac:dyDescent="0.15">
      <c r="C303" s="4">
        <v>0</v>
      </c>
      <c r="E303" s="10">
        <v>1.3888888888888889E-3</v>
      </c>
      <c r="F303" s="4">
        <v>0</v>
      </c>
    </row>
    <row r="304" spans="1:9" ht="13" x14ac:dyDescent="0.15">
      <c r="C304" s="4">
        <v>0</v>
      </c>
      <c r="E304" s="10">
        <v>2.0833333333333333E-3</v>
      </c>
      <c r="F304" s="4">
        <v>0</v>
      </c>
    </row>
    <row r="305" spans="3:6" ht="13" x14ac:dyDescent="0.15">
      <c r="C305" s="4">
        <v>0</v>
      </c>
      <c r="E305" s="10">
        <v>2.7777777777777779E-3</v>
      </c>
      <c r="F305" s="4">
        <v>0</v>
      </c>
    </row>
    <row r="306" spans="3:6" ht="13" x14ac:dyDescent="0.15">
      <c r="C306" s="4">
        <v>0</v>
      </c>
      <c r="E306" s="10">
        <v>4.1666666666666664E-2</v>
      </c>
      <c r="F306" s="4">
        <v>1</v>
      </c>
    </row>
    <row r="307" spans="3:6" ht="13" x14ac:dyDescent="0.15">
      <c r="C307" s="4">
        <v>0</v>
      </c>
      <c r="E307" s="10">
        <v>4.2361111111111113E-2</v>
      </c>
      <c r="F307" s="4">
        <v>0</v>
      </c>
    </row>
    <row r="308" spans="3:6" ht="13" x14ac:dyDescent="0.15">
      <c r="C308" s="4">
        <v>0</v>
      </c>
      <c r="E308" s="10">
        <v>4.3055555555555555E-2</v>
      </c>
      <c r="F308" s="4">
        <v>0</v>
      </c>
    </row>
    <row r="309" spans="3:6" ht="13" x14ac:dyDescent="0.15">
      <c r="C309" s="4">
        <v>0</v>
      </c>
      <c r="E309" s="10">
        <v>4.3749999999999997E-2</v>
      </c>
      <c r="F309" s="4">
        <v>0</v>
      </c>
    </row>
    <row r="310" spans="3:6" ht="13" x14ac:dyDescent="0.15">
      <c r="C310" s="4">
        <v>0</v>
      </c>
      <c r="E310" s="10">
        <v>4.4444444444444446E-2</v>
      </c>
      <c r="F310" s="4">
        <v>0</v>
      </c>
    </row>
    <row r="311" spans="3:6" ht="13" x14ac:dyDescent="0.15">
      <c r="C311" s="4">
        <v>0</v>
      </c>
      <c r="E311" s="10">
        <v>8.3333333333333329E-2</v>
      </c>
      <c r="F311" s="4">
        <v>1</v>
      </c>
    </row>
    <row r="312" spans="3:6" ht="13" x14ac:dyDescent="0.15">
      <c r="C312" s="4">
        <v>0</v>
      </c>
      <c r="E312" s="10">
        <v>8.4027777777777785E-2</v>
      </c>
      <c r="F312" s="4">
        <v>0</v>
      </c>
    </row>
    <row r="313" spans="3:6" ht="13" x14ac:dyDescent="0.15">
      <c r="C313" s="4">
        <v>0</v>
      </c>
      <c r="E313" s="10">
        <v>8.4722222222222227E-2</v>
      </c>
      <c r="F313" s="4">
        <v>0</v>
      </c>
    </row>
    <row r="314" spans="3:6" ht="13" x14ac:dyDescent="0.15">
      <c r="C314" s="4">
        <v>0</v>
      </c>
      <c r="E314" s="10">
        <v>8.5416666666666669E-2</v>
      </c>
      <c r="F314" s="4">
        <v>0</v>
      </c>
    </row>
    <row r="315" spans="3:6" ht="13" x14ac:dyDescent="0.15">
      <c r="C315" s="4">
        <v>0</v>
      </c>
      <c r="E315" s="10">
        <v>8.611111111111111E-2</v>
      </c>
      <c r="F315" s="4">
        <v>0</v>
      </c>
    </row>
    <row r="316" spans="3:6" ht="13" x14ac:dyDescent="0.15">
      <c r="C316" s="4">
        <v>0</v>
      </c>
      <c r="E316" s="10">
        <v>0.125</v>
      </c>
      <c r="F316" s="4">
        <v>1</v>
      </c>
    </row>
    <row r="317" spans="3:6" ht="13" x14ac:dyDescent="0.15">
      <c r="C317" s="4">
        <v>0</v>
      </c>
      <c r="E317" s="10">
        <v>0.12569444444444444</v>
      </c>
      <c r="F317" s="4">
        <v>0</v>
      </c>
    </row>
    <row r="318" spans="3:6" ht="13" x14ac:dyDescent="0.15">
      <c r="C318" s="4">
        <v>0</v>
      </c>
      <c r="E318" s="10">
        <v>0.12638888888888888</v>
      </c>
      <c r="F318" s="4">
        <v>0</v>
      </c>
    </row>
    <row r="319" spans="3:6" ht="13" x14ac:dyDescent="0.15">
      <c r="C319" s="4">
        <v>0</v>
      </c>
      <c r="E319" s="10">
        <v>0.12708333333333333</v>
      </c>
      <c r="F319" s="4">
        <v>0</v>
      </c>
    </row>
    <row r="320" spans="3:6" ht="13" x14ac:dyDescent="0.15">
      <c r="C320" s="4">
        <v>0</v>
      </c>
      <c r="E320" s="10">
        <v>0.12777777777777777</v>
      </c>
      <c r="F320" s="4">
        <v>0</v>
      </c>
    </row>
    <row r="321" spans="3:6" ht="13" x14ac:dyDescent="0.15">
      <c r="C321" s="4">
        <v>0</v>
      </c>
      <c r="E321" s="10">
        <v>0.16666666666666666</v>
      </c>
      <c r="F321" s="4">
        <v>1</v>
      </c>
    </row>
    <row r="322" spans="3:6" ht="13" x14ac:dyDescent="0.15">
      <c r="C322" s="4">
        <v>0</v>
      </c>
      <c r="E322" s="10">
        <v>0.1673611111111111</v>
      </c>
      <c r="F322" s="4">
        <v>0</v>
      </c>
    </row>
    <row r="323" spans="3:6" ht="13" x14ac:dyDescent="0.15">
      <c r="C323" s="4">
        <v>0</v>
      </c>
      <c r="E323" s="10">
        <v>0.16805555555555557</v>
      </c>
      <c r="F323" s="4">
        <v>0</v>
      </c>
    </row>
    <row r="324" spans="3:6" ht="13" x14ac:dyDescent="0.15">
      <c r="C324" s="4">
        <v>0</v>
      </c>
      <c r="E324" s="10">
        <v>0.16875000000000001</v>
      </c>
      <c r="F324" s="4">
        <v>0</v>
      </c>
    </row>
    <row r="325" spans="3:6" ht="13" x14ac:dyDescent="0.15">
      <c r="C325" s="4">
        <v>0</v>
      </c>
      <c r="E325" s="10">
        <v>0.16944444444444445</v>
      </c>
      <c r="F325" s="4">
        <v>0</v>
      </c>
    </row>
    <row r="326" spans="3:6" ht="13" x14ac:dyDescent="0.15">
      <c r="C326" s="4">
        <v>0</v>
      </c>
      <c r="E326" s="10">
        <v>0.20833333333333334</v>
      </c>
      <c r="F326" s="4">
        <v>1</v>
      </c>
    </row>
    <row r="327" spans="3:6" ht="13" x14ac:dyDescent="0.15">
      <c r="C327" s="4">
        <v>0</v>
      </c>
      <c r="E327" s="10">
        <v>0.20902777777777778</v>
      </c>
      <c r="F327" s="4">
        <v>0</v>
      </c>
    </row>
    <row r="328" spans="3:6" ht="13" x14ac:dyDescent="0.15">
      <c r="C328" s="4">
        <v>0</v>
      </c>
      <c r="E328" s="10">
        <v>0.20972222222222223</v>
      </c>
      <c r="F328" s="4">
        <v>0</v>
      </c>
    </row>
    <row r="329" spans="3:6" ht="13" x14ac:dyDescent="0.15">
      <c r="C329" s="4">
        <v>0</v>
      </c>
      <c r="E329" s="10">
        <v>0.21041666666666667</v>
      </c>
      <c r="F329" s="4">
        <v>0</v>
      </c>
    </row>
    <row r="330" spans="3:6" ht="13" x14ac:dyDescent="0.15">
      <c r="C330" s="4">
        <v>0</v>
      </c>
      <c r="E330" s="10">
        <v>0.21111111111111111</v>
      </c>
      <c r="F330" s="4">
        <v>0</v>
      </c>
    </row>
    <row r="331" spans="3:6" ht="13" x14ac:dyDescent="0.15">
      <c r="C331" s="4">
        <v>0</v>
      </c>
      <c r="E331" s="10">
        <v>0.25</v>
      </c>
      <c r="F331" s="4">
        <v>1</v>
      </c>
    </row>
    <row r="332" spans="3:6" ht="13" x14ac:dyDescent="0.15">
      <c r="C332" s="4">
        <v>0</v>
      </c>
      <c r="E332" s="10">
        <v>0.25069444444444444</v>
      </c>
      <c r="F332" s="4">
        <v>0</v>
      </c>
    </row>
    <row r="333" spans="3:6" ht="13" x14ac:dyDescent="0.15">
      <c r="C333" s="4">
        <v>0</v>
      </c>
      <c r="E333" s="10">
        <v>0.25138888888888888</v>
      </c>
      <c r="F333" s="4">
        <v>0</v>
      </c>
    </row>
    <row r="334" spans="3:6" ht="13" x14ac:dyDescent="0.15">
      <c r="C334" s="4">
        <v>0</v>
      </c>
      <c r="E334" s="10">
        <v>0.25208333333333333</v>
      </c>
      <c r="F334" s="4">
        <v>0</v>
      </c>
    </row>
    <row r="335" spans="3:6" ht="13" x14ac:dyDescent="0.15">
      <c r="C335" s="4">
        <v>0</v>
      </c>
      <c r="E335" s="10">
        <v>0.25277777777777777</v>
      </c>
      <c r="F335" s="4">
        <v>0</v>
      </c>
    </row>
    <row r="336" spans="3:6" ht="13" x14ac:dyDescent="0.15">
      <c r="C336" s="4">
        <v>0</v>
      </c>
      <c r="E336" s="10">
        <v>0.29305555555555557</v>
      </c>
      <c r="F336" s="4">
        <v>1</v>
      </c>
    </row>
    <row r="337" spans="3:6" ht="13" x14ac:dyDescent="0.15">
      <c r="C337" s="4">
        <v>0</v>
      </c>
      <c r="E337" s="10">
        <v>0.33611111111111114</v>
      </c>
      <c r="F337" s="4">
        <v>1</v>
      </c>
    </row>
    <row r="338" spans="3:6" ht="13" x14ac:dyDescent="0.15">
      <c r="C338" s="4">
        <v>0</v>
      </c>
      <c r="E338" s="10">
        <v>0.54374999999999996</v>
      </c>
      <c r="F338" s="4">
        <v>1</v>
      </c>
    </row>
    <row r="339" spans="3:6" ht="13" x14ac:dyDescent="0.15">
      <c r="C339" s="4">
        <v>0</v>
      </c>
      <c r="E339" s="10">
        <v>0.875</v>
      </c>
      <c r="F339" s="4">
        <v>1</v>
      </c>
    </row>
    <row r="340" spans="3:6" ht="13" x14ac:dyDescent="0.15">
      <c r="C340" s="4">
        <v>0</v>
      </c>
      <c r="E340" s="10">
        <v>0.87569444444444444</v>
      </c>
      <c r="F340" s="4">
        <v>0</v>
      </c>
    </row>
    <row r="341" spans="3:6" ht="13" x14ac:dyDescent="0.15">
      <c r="C341" s="4">
        <v>0</v>
      </c>
      <c r="E341" s="10">
        <v>0.87638888888888888</v>
      </c>
      <c r="F341" s="4">
        <v>0</v>
      </c>
    </row>
    <row r="342" spans="3:6" ht="13" x14ac:dyDescent="0.15">
      <c r="C342" s="4">
        <v>0</v>
      </c>
      <c r="E342" s="10">
        <v>0.87708333333333333</v>
      </c>
      <c r="F342" s="4">
        <v>0</v>
      </c>
    </row>
    <row r="343" spans="3:6" ht="13" x14ac:dyDescent="0.15">
      <c r="C343" s="4">
        <v>0</v>
      </c>
      <c r="E343" s="10">
        <v>0.87777777777777777</v>
      </c>
      <c r="F343" s="4">
        <v>0</v>
      </c>
    </row>
    <row r="344" spans="3:6" ht="13" x14ac:dyDescent="0.15">
      <c r="C344" s="4">
        <v>0</v>
      </c>
      <c r="E344" s="10">
        <v>0.91666666666666663</v>
      </c>
      <c r="F344" s="4">
        <v>1</v>
      </c>
    </row>
    <row r="345" spans="3:6" ht="13" x14ac:dyDescent="0.15">
      <c r="C345" s="4">
        <v>0</v>
      </c>
      <c r="E345" s="10">
        <v>0.91736111111111107</v>
      </c>
      <c r="F345" s="4">
        <v>0</v>
      </c>
    </row>
    <row r="346" spans="3:6" ht="13" x14ac:dyDescent="0.15">
      <c r="C346" s="4">
        <v>0</v>
      </c>
      <c r="E346" s="10">
        <v>0.91805555555555551</v>
      </c>
      <c r="F346" s="4">
        <v>0</v>
      </c>
    </row>
    <row r="347" spans="3:6" ht="13" x14ac:dyDescent="0.15">
      <c r="C347" s="4">
        <v>0</v>
      </c>
      <c r="E347" s="10">
        <v>0.91874999999999996</v>
      </c>
      <c r="F347" s="4">
        <v>0</v>
      </c>
    </row>
    <row r="348" spans="3:6" ht="13" x14ac:dyDescent="0.15">
      <c r="C348" s="4">
        <v>0</v>
      </c>
      <c r="E348" s="10">
        <v>0.9194444444444444</v>
      </c>
      <c r="F348" s="4">
        <v>0</v>
      </c>
    </row>
    <row r="349" spans="3:6" ht="13" x14ac:dyDescent="0.15">
      <c r="C349" s="4">
        <v>0</v>
      </c>
      <c r="E349" s="10">
        <v>0.95833333333333337</v>
      </c>
      <c r="F349" s="4">
        <v>1</v>
      </c>
    </row>
    <row r="350" spans="3:6" ht="13" x14ac:dyDescent="0.15">
      <c r="C350" s="4">
        <v>0</v>
      </c>
      <c r="E350" s="10">
        <v>0.95902777777777781</v>
      </c>
      <c r="F350" s="4">
        <v>0</v>
      </c>
    </row>
    <row r="351" spans="3:6" ht="13" x14ac:dyDescent="0.15">
      <c r="C351" s="4">
        <v>0</v>
      </c>
      <c r="E351" s="10">
        <v>0.95972222222222225</v>
      </c>
      <c r="F351" s="4">
        <v>0</v>
      </c>
    </row>
    <row r="352" spans="3:6" ht="13" x14ac:dyDescent="0.15">
      <c r="C352" s="4">
        <v>0</v>
      </c>
      <c r="E352" s="10">
        <v>0.9604166666666667</v>
      </c>
      <c r="F352" s="4">
        <v>0</v>
      </c>
    </row>
    <row r="353" spans="1:9" ht="13" x14ac:dyDescent="0.15">
      <c r="C353" s="4">
        <v>0</v>
      </c>
      <c r="E353" s="10">
        <v>0.96111111111111114</v>
      </c>
      <c r="F353" s="4">
        <v>0</v>
      </c>
    </row>
    <row r="354" spans="1:9" ht="13" x14ac:dyDescent="0.15">
      <c r="A354" s="25"/>
      <c r="B354" s="26" t="s">
        <v>71</v>
      </c>
      <c r="C354" s="26">
        <v>0</v>
      </c>
      <c r="D354" s="25"/>
      <c r="E354" s="25"/>
      <c r="F354" s="26">
        <f>SUM(F301:F353)</f>
        <v>13</v>
      </c>
      <c r="G354" s="26">
        <f>COUNT(F301:F353)</f>
        <v>53</v>
      </c>
      <c r="H354" s="25"/>
      <c r="I354" s="25"/>
    </row>
    <row r="355" spans="1:9" ht="13" x14ac:dyDescent="0.15">
      <c r="A355" s="4" t="s">
        <v>40</v>
      </c>
      <c r="B355" s="4" t="s">
        <v>52</v>
      </c>
      <c r="C355" s="4">
        <v>0</v>
      </c>
      <c r="D355" s="9">
        <v>45873</v>
      </c>
      <c r="E355" s="10">
        <v>0</v>
      </c>
      <c r="F355" s="4">
        <v>1</v>
      </c>
      <c r="G355" s="7"/>
      <c r="H355" s="7" t="s">
        <v>49</v>
      </c>
    </row>
    <row r="356" spans="1:9" ht="13" x14ac:dyDescent="0.15">
      <c r="C356" s="4">
        <v>0</v>
      </c>
      <c r="E356" s="10">
        <v>6.9444444444444447E-4</v>
      </c>
      <c r="F356" s="4">
        <v>0</v>
      </c>
    </row>
    <row r="357" spans="1:9" ht="13" x14ac:dyDescent="0.15">
      <c r="C357" s="4">
        <v>0</v>
      </c>
      <c r="E357" s="10">
        <v>1.3888888888888889E-3</v>
      </c>
      <c r="F357" s="4">
        <v>0</v>
      </c>
    </row>
    <row r="358" spans="1:9" ht="13" x14ac:dyDescent="0.15">
      <c r="C358" s="4">
        <v>0</v>
      </c>
      <c r="E358" s="10">
        <v>2.0833333333333333E-3</v>
      </c>
      <c r="F358" s="4">
        <v>0</v>
      </c>
    </row>
    <row r="359" spans="1:9" ht="13" x14ac:dyDescent="0.15">
      <c r="C359" s="4">
        <v>0</v>
      </c>
      <c r="E359" s="10">
        <v>2.7777777777777779E-3</v>
      </c>
      <c r="F359" s="4">
        <v>0</v>
      </c>
    </row>
    <row r="360" spans="1:9" ht="13" x14ac:dyDescent="0.15">
      <c r="C360" s="4">
        <v>0</v>
      </c>
      <c r="E360" s="10">
        <v>4.1666666666666664E-2</v>
      </c>
      <c r="F360" s="4">
        <v>1</v>
      </c>
    </row>
    <row r="361" spans="1:9" ht="13" x14ac:dyDescent="0.15">
      <c r="C361" s="4">
        <v>0</v>
      </c>
      <c r="E361" s="10">
        <v>4.2361111111111113E-2</v>
      </c>
      <c r="F361" s="4">
        <v>0</v>
      </c>
    </row>
    <row r="362" spans="1:9" ht="13" x14ac:dyDescent="0.15">
      <c r="C362" s="4">
        <v>0</v>
      </c>
      <c r="E362" s="10">
        <v>4.3055555555555555E-2</v>
      </c>
      <c r="F362" s="4">
        <v>0</v>
      </c>
    </row>
    <row r="363" spans="1:9" ht="13" x14ac:dyDescent="0.15">
      <c r="C363" s="4">
        <v>0</v>
      </c>
      <c r="E363" s="10">
        <v>4.3749999999999997E-2</v>
      </c>
      <c r="F363" s="4">
        <v>0</v>
      </c>
    </row>
    <row r="364" spans="1:9" ht="13" x14ac:dyDescent="0.15">
      <c r="C364" s="4">
        <v>0</v>
      </c>
      <c r="E364" s="10">
        <v>4.4444444444444446E-2</v>
      </c>
      <c r="F364" s="4">
        <v>0</v>
      </c>
    </row>
    <row r="365" spans="1:9" ht="13" x14ac:dyDescent="0.15">
      <c r="C365" s="4">
        <v>0</v>
      </c>
      <c r="E365" s="10">
        <v>8.3333333333333329E-2</v>
      </c>
      <c r="F365" s="4">
        <v>1</v>
      </c>
    </row>
    <row r="366" spans="1:9" ht="13" x14ac:dyDescent="0.15">
      <c r="C366" s="4">
        <v>0</v>
      </c>
      <c r="E366" s="10">
        <v>8.4027777777777785E-2</v>
      </c>
      <c r="F366" s="4">
        <v>0</v>
      </c>
    </row>
    <row r="367" spans="1:9" ht="13" x14ac:dyDescent="0.15">
      <c r="C367" s="4">
        <v>0</v>
      </c>
      <c r="E367" s="10">
        <v>8.4722222222222227E-2</v>
      </c>
      <c r="F367" s="4">
        <v>0</v>
      </c>
    </row>
    <row r="368" spans="1:9" ht="13" x14ac:dyDescent="0.15">
      <c r="C368" s="4">
        <v>0</v>
      </c>
      <c r="E368" s="10">
        <v>8.5416666666666669E-2</v>
      </c>
      <c r="F368" s="4">
        <v>0</v>
      </c>
    </row>
    <row r="369" spans="3:6" ht="13" x14ac:dyDescent="0.15">
      <c r="C369" s="4">
        <v>0</v>
      </c>
      <c r="E369" s="10">
        <v>8.611111111111111E-2</v>
      </c>
      <c r="F369" s="4">
        <v>0</v>
      </c>
    </row>
    <row r="370" spans="3:6" ht="13" x14ac:dyDescent="0.15">
      <c r="C370" s="4">
        <v>0</v>
      </c>
      <c r="E370" s="10">
        <v>0.125</v>
      </c>
      <c r="F370" s="4">
        <v>1</v>
      </c>
    </row>
    <row r="371" spans="3:6" ht="13" x14ac:dyDescent="0.15">
      <c r="C371" s="4">
        <v>0</v>
      </c>
      <c r="E371" s="10">
        <v>0.12569444444444444</v>
      </c>
      <c r="F371" s="4">
        <v>0</v>
      </c>
    </row>
    <row r="372" spans="3:6" ht="13" x14ac:dyDescent="0.15">
      <c r="C372" s="4">
        <v>0</v>
      </c>
      <c r="E372" s="10">
        <v>0.12638888888888888</v>
      </c>
      <c r="F372" s="4">
        <v>0</v>
      </c>
    </row>
    <row r="373" spans="3:6" ht="13" x14ac:dyDescent="0.15">
      <c r="C373" s="4">
        <v>0</v>
      </c>
      <c r="E373" s="10">
        <v>0.12708333333333333</v>
      </c>
      <c r="F373" s="4">
        <v>0</v>
      </c>
    </row>
    <row r="374" spans="3:6" ht="13" x14ac:dyDescent="0.15">
      <c r="C374" s="4">
        <v>0</v>
      </c>
      <c r="E374" s="10">
        <v>0.12777777777777777</v>
      </c>
      <c r="F374" s="4">
        <v>0</v>
      </c>
    </row>
    <row r="375" spans="3:6" ht="13" x14ac:dyDescent="0.15">
      <c r="C375" s="4">
        <v>0</v>
      </c>
      <c r="E375" s="10">
        <v>0.16666666666666666</v>
      </c>
      <c r="F375" s="4">
        <v>1</v>
      </c>
    </row>
    <row r="376" spans="3:6" ht="13" x14ac:dyDescent="0.15">
      <c r="C376" s="4">
        <v>0</v>
      </c>
      <c r="E376" s="10">
        <v>0.1673611111111111</v>
      </c>
      <c r="F376" s="4">
        <v>0</v>
      </c>
    </row>
    <row r="377" spans="3:6" ht="13" x14ac:dyDescent="0.15">
      <c r="C377" s="4">
        <v>0</v>
      </c>
      <c r="E377" s="10">
        <v>0.16805555555555557</v>
      </c>
      <c r="F377" s="4">
        <v>0</v>
      </c>
    </row>
    <row r="378" spans="3:6" ht="13" x14ac:dyDescent="0.15">
      <c r="C378" s="4">
        <v>0</v>
      </c>
      <c r="E378" s="10">
        <v>0.16875000000000001</v>
      </c>
      <c r="F378" s="4">
        <v>0</v>
      </c>
    </row>
    <row r="379" spans="3:6" ht="13" x14ac:dyDescent="0.15">
      <c r="C379" s="4">
        <v>0</v>
      </c>
      <c r="E379" s="10">
        <v>0.16944444444444445</v>
      </c>
      <c r="F379" s="4">
        <v>0</v>
      </c>
    </row>
    <row r="380" spans="3:6" ht="13" x14ac:dyDescent="0.15">
      <c r="C380" s="4">
        <v>0</v>
      </c>
      <c r="E380" s="10">
        <v>0.20833333333333334</v>
      </c>
      <c r="F380" s="4">
        <v>1</v>
      </c>
    </row>
    <row r="381" spans="3:6" ht="13" x14ac:dyDescent="0.15">
      <c r="C381" s="4">
        <v>0</v>
      </c>
      <c r="E381" s="10">
        <v>0.20902777777777778</v>
      </c>
      <c r="F381" s="4">
        <v>0</v>
      </c>
    </row>
    <row r="382" spans="3:6" ht="13" x14ac:dyDescent="0.15">
      <c r="C382" s="4">
        <v>0</v>
      </c>
      <c r="E382" s="10">
        <v>0.20972222222222223</v>
      </c>
      <c r="F382" s="4">
        <v>0</v>
      </c>
    </row>
    <row r="383" spans="3:6" ht="13" x14ac:dyDescent="0.15">
      <c r="C383" s="4">
        <v>0</v>
      </c>
      <c r="E383" s="10">
        <v>0.21041666666666667</v>
      </c>
      <c r="F383" s="4">
        <v>0</v>
      </c>
    </row>
    <row r="384" spans="3:6" ht="13" x14ac:dyDescent="0.15">
      <c r="C384" s="4">
        <v>0</v>
      </c>
      <c r="E384" s="10">
        <v>0.21111111111111111</v>
      </c>
      <c r="F384" s="4">
        <v>0</v>
      </c>
    </row>
    <row r="385" spans="3:6" ht="13" x14ac:dyDescent="0.15">
      <c r="C385" s="4">
        <v>0</v>
      </c>
      <c r="E385" s="10">
        <v>0.25</v>
      </c>
      <c r="F385" s="4">
        <v>1</v>
      </c>
    </row>
    <row r="386" spans="3:6" ht="13" x14ac:dyDescent="0.15">
      <c r="C386" s="4">
        <v>0</v>
      </c>
      <c r="E386" s="10">
        <v>0.25069444444444444</v>
      </c>
      <c r="F386" s="4">
        <v>0</v>
      </c>
    </row>
    <row r="387" spans="3:6" ht="13" x14ac:dyDescent="0.15">
      <c r="C387" s="4">
        <v>0</v>
      </c>
      <c r="E387" s="10">
        <v>0.25138888888888888</v>
      </c>
      <c r="F387" s="4">
        <v>0</v>
      </c>
    </row>
    <row r="388" spans="3:6" ht="13" x14ac:dyDescent="0.15">
      <c r="C388" s="4">
        <v>0</v>
      </c>
      <c r="E388" s="10">
        <v>0.25208333333333333</v>
      </c>
      <c r="F388" s="4">
        <v>0</v>
      </c>
    </row>
    <row r="389" spans="3:6" ht="13" x14ac:dyDescent="0.15">
      <c r="C389" s="4">
        <v>0</v>
      </c>
      <c r="E389" s="10">
        <v>0.25277777777777777</v>
      </c>
      <c r="F389" s="4">
        <v>0</v>
      </c>
    </row>
    <row r="390" spans="3:6" ht="13" x14ac:dyDescent="0.15">
      <c r="C390" s="4">
        <v>0</v>
      </c>
      <c r="E390" s="10">
        <v>0.29166666666666669</v>
      </c>
      <c r="F390" s="4">
        <v>1</v>
      </c>
    </row>
    <row r="391" spans="3:6" ht="13" x14ac:dyDescent="0.15">
      <c r="C391" s="4">
        <v>0</v>
      </c>
      <c r="E391" s="10">
        <v>0.29236111111111113</v>
      </c>
      <c r="F391" s="4">
        <v>0</v>
      </c>
    </row>
    <row r="392" spans="3:6" ht="13" x14ac:dyDescent="0.15">
      <c r="C392" s="4">
        <v>0</v>
      </c>
      <c r="E392" s="10">
        <v>0.29305555555555557</v>
      </c>
      <c r="F392" s="4">
        <v>0</v>
      </c>
    </row>
    <row r="393" spans="3:6" ht="13" x14ac:dyDescent="0.15">
      <c r="C393" s="4">
        <v>0</v>
      </c>
      <c r="E393" s="10">
        <v>0.29375000000000001</v>
      </c>
      <c r="F393" s="4">
        <v>0</v>
      </c>
    </row>
    <row r="394" spans="3:6" ht="13" x14ac:dyDescent="0.15">
      <c r="C394" s="4">
        <v>0</v>
      </c>
      <c r="E394" s="10">
        <v>0.29444444444444445</v>
      </c>
      <c r="F394" s="4">
        <v>0</v>
      </c>
    </row>
    <row r="395" spans="3:6" ht="13" x14ac:dyDescent="0.15">
      <c r="C395" s="4">
        <v>0</v>
      </c>
      <c r="E395" s="10">
        <v>0.33333333333333331</v>
      </c>
      <c r="F395" s="4">
        <v>1</v>
      </c>
    </row>
    <row r="396" spans="3:6" ht="13" x14ac:dyDescent="0.15">
      <c r="C396" s="4">
        <v>0</v>
      </c>
      <c r="E396" s="10">
        <v>0.33402777777777776</v>
      </c>
      <c r="F396" s="4">
        <v>0</v>
      </c>
    </row>
    <row r="397" spans="3:6" ht="13" x14ac:dyDescent="0.15">
      <c r="C397" s="4">
        <v>0</v>
      </c>
      <c r="E397" s="10">
        <v>0.33611111111111114</v>
      </c>
      <c r="F397" s="4">
        <v>0</v>
      </c>
    </row>
    <row r="398" spans="3:6" ht="13" x14ac:dyDescent="0.15">
      <c r="C398" s="4">
        <v>0</v>
      </c>
      <c r="E398" s="10">
        <v>0.375</v>
      </c>
      <c r="F398" s="4">
        <v>1</v>
      </c>
    </row>
    <row r="399" spans="3:6" ht="13" x14ac:dyDescent="0.15">
      <c r="C399" s="4">
        <v>0</v>
      </c>
      <c r="E399" s="10">
        <v>0.37569444444444444</v>
      </c>
      <c r="F399" s="4">
        <v>0</v>
      </c>
    </row>
    <row r="400" spans="3:6" ht="13" x14ac:dyDescent="0.15">
      <c r="C400" s="4">
        <v>0</v>
      </c>
      <c r="E400" s="10">
        <v>0.37708333333333333</v>
      </c>
      <c r="F400" s="4">
        <v>0</v>
      </c>
    </row>
    <row r="401" spans="3:6" ht="13" x14ac:dyDescent="0.15">
      <c r="C401" s="4">
        <v>0</v>
      </c>
      <c r="E401" s="10">
        <v>0.37777777777777777</v>
      </c>
      <c r="F401" s="4">
        <v>0</v>
      </c>
    </row>
    <row r="402" spans="3:6" ht="13" x14ac:dyDescent="0.15">
      <c r="C402" s="4">
        <v>0</v>
      </c>
      <c r="E402" s="10">
        <v>0.41666666666666669</v>
      </c>
      <c r="F402" s="4">
        <v>1</v>
      </c>
    </row>
    <row r="403" spans="3:6" ht="13" x14ac:dyDescent="0.15">
      <c r="C403" s="4">
        <v>0</v>
      </c>
      <c r="E403" s="10">
        <v>0.41736111111111113</v>
      </c>
      <c r="F403" s="4">
        <v>0</v>
      </c>
    </row>
    <row r="404" spans="3:6" ht="13" x14ac:dyDescent="0.15">
      <c r="C404" s="4">
        <v>0</v>
      </c>
      <c r="E404" s="10">
        <v>0.41805555555555557</v>
      </c>
      <c r="F404" s="4">
        <v>0</v>
      </c>
    </row>
    <row r="405" spans="3:6" ht="13" x14ac:dyDescent="0.15">
      <c r="C405" s="4">
        <v>0</v>
      </c>
      <c r="E405" s="10">
        <v>0.46041666666666664</v>
      </c>
      <c r="F405" s="4">
        <v>1</v>
      </c>
    </row>
    <row r="406" spans="3:6" ht="13" x14ac:dyDescent="0.15">
      <c r="C406" s="4">
        <v>1</v>
      </c>
      <c r="E406" s="10">
        <v>0.5</v>
      </c>
      <c r="F406" s="4">
        <v>1</v>
      </c>
    </row>
    <row r="407" spans="3:6" ht="13" x14ac:dyDescent="0.15">
      <c r="C407" s="4">
        <v>0</v>
      </c>
      <c r="E407" s="10">
        <v>0.50069444444444444</v>
      </c>
      <c r="F407" s="4">
        <v>0</v>
      </c>
    </row>
    <row r="408" spans="3:6" ht="13" x14ac:dyDescent="0.15">
      <c r="C408" s="4">
        <v>0</v>
      </c>
      <c r="E408" s="10">
        <v>0.50277777777777777</v>
      </c>
      <c r="F408" s="4">
        <v>0</v>
      </c>
    </row>
    <row r="409" spans="3:6" ht="13" x14ac:dyDescent="0.15">
      <c r="C409" s="4">
        <v>1</v>
      </c>
      <c r="E409" s="10">
        <v>0.875</v>
      </c>
      <c r="F409" s="4">
        <v>1</v>
      </c>
    </row>
    <row r="410" spans="3:6" ht="13" x14ac:dyDescent="0.15">
      <c r="C410" s="4">
        <v>0</v>
      </c>
      <c r="E410" s="10">
        <v>0.87569444444444444</v>
      </c>
      <c r="F410" s="4">
        <v>0</v>
      </c>
    </row>
    <row r="411" spans="3:6" ht="13" x14ac:dyDescent="0.15">
      <c r="C411" s="4">
        <v>0</v>
      </c>
      <c r="E411" s="10">
        <v>0.87569444444444444</v>
      </c>
      <c r="F411" s="4">
        <v>0</v>
      </c>
    </row>
    <row r="412" spans="3:6" ht="13" x14ac:dyDescent="0.15">
      <c r="C412" s="4">
        <v>0</v>
      </c>
      <c r="E412" s="10">
        <v>0.87638888888888888</v>
      </c>
      <c r="F412" s="4">
        <v>0</v>
      </c>
    </row>
    <row r="413" spans="3:6" ht="13" x14ac:dyDescent="0.15">
      <c r="C413" s="4">
        <v>0</v>
      </c>
      <c r="E413" s="10">
        <v>0.87708333333333333</v>
      </c>
      <c r="F413" s="4">
        <v>0</v>
      </c>
    </row>
    <row r="414" spans="3:6" ht="13" x14ac:dyDescent="0.15">
      <c r="C414" s="4">
        <v>0</v>
      </c>
      <c r="E414" s="10">
        <v>0.87777777777777777</v>
      </c>
      <c r="F414" s="4">
        <v>0</v>
      </c>
    </row>
    <row r="415" spans="3:6" ht="13" x14ac:dyDescent="0.15">
      <c r="C415" s="4">
        <v>0</v>
      </c>
      <c r="E415" s="10">
        <v>0.91666666666666663</v>
      </c>
      <c r="F415" s="4">
        <v>1</v>
      </c>
    </row>
    <row r="416" spans="3:6" ht="13" x14ac:dyDescent="0.15">
      <c r="C416" s="4">
        <v>0</v>
      </c>
      <c r="E416" s="10">
        <v>0.91736111111111107</v>
      </c>
      <c r="F416" s="4">
        <v>0</v>
      </c>
    </row>
    <row r="417" spans="1:9" ht="13" x14ac:dyDescent="0.15">
      <c r="C417" s="4">
        <v>0</v>
      </c>
      <c r="E417" s="10">
        <v>0.91805555555555551</v>
      </c>
      <c r="F417" s="4">
        <v>0</v>
      </c>
    </row>
    <row r="418" spans="1:9" ht="13" x14ac:dyDescent="0.15">
      <c r="C418" s="4">
        <v>0</v>
      </c>
      <c r="E418" s="10">
        <v>0.91874999999999996</v>
      </c>
      <c r="F418" s="4">
        <v>0</v>
      </c>
    </row>
    <row r="419" spans="1:9" ht="13" x14ac:dyDescent="0.15">
      <c r="C419" s="4">
        <v>0</v>
      </c>
      <c r="E419" s="10">
        <v>0.9194444444444444</v>
      </c>
      <c r="F419" s="4">
        <v>0</v>
      </c>
    </row>
    <row r="420" spans="1:9" ht="13" x14ac:dyDescent="0.15">
      <c r="C420" s="4">
        <v>0</v>
      </c>
      <c r="E420" s="10">
        <v>0.95833333333333337</v>
      </c>
      <c r="F420" s="4">
        <v>1</v>
      </c>
    </row>
    <row r="421" spans="1:9" ht="13" x14ac:dyDescent="0.15">
      <c r="C421" s="4">
        <v>0</v>
      </c>
      <c r="E421" s="10">
        <v>0.95902777777777781</v>
      </c>
      <c r="F421" s="4">
        <v>0</v>
      </c>
    </row>
    <row r="422" spans="1:9" ht="13" x14ac:dyDescent="0.15">
      <c r="C422" s="4">
        <v>0</v>
      </c>
      <c r="E422" s="10">
        <v>0.95972222222222225</v>
      </c>
      <c r="F422" s="4">
        <v>0</v>
      </c>
    </row>
    <row r="423" spans="1:9" ht="13" x14ac:dyDescent="0.15">
      <c r="C423" s="4">
        <v>0</v>
      </c>
      <c r="E423" s="10">
        <v>0.9604166666666667</v>
      </c>
      <c r="F423" s="4">
        <v>0</v>
      </c>
    </row>
    <row r="424" spans="1:9" ht="13" x14ac:dyDescent="0.15">
      <c r="C424" s="4">
        <v>0</v>
      </c>
      <c r="E424" s="10">
        <v>0.96111111111111114</v>
      </c>
      <c r="F424" s="4">
        <v>0</v>
      </c>
    </row>
    <row r="425" spans="1:9" ht="13" x14ac:dyDescent="0.15">
      <c r="A425" s="25"/>
      <c r="B425" s="26" t="s">
        <v>71</v>
      </c>
      <c r="C425" s="26">
        <f>SUM(C355:C424)</f>
        <v>2</v>
      </c>
      <c r="D425" s="25"/>
      <c r="E425" s="25"/>
      <c r="F425" s="26">
        <f>SUM(F355:F424)</f>
        <v>16</v>
      </c>
      <c r="G425" s="26">
        <f>COUNT(F355:F424)</f>
        <v>70</v>
      </c>
      <c r="H425" s="25"/>
      <c r="I425" s="25"/>
    </row>
    <row r="426" spans="1:9" ht="13" x14ac:dyDescent="0.15">
      <c r="A426" s="4" t="s">
        <v>40</v>
      </c>
      <c r="B426" s="4" t="s">
        <v>52</v>
      </c>
      <c r="C426" s="4">
        <v>0</v>
      </c>
      <c r="D426" s="9">
        <v>45874</v>
      </c>
      <c r="E426" s="10">
        <v>0</v>
      </c>
      <c r="F426" s="4">
        <v>1</v>
      </c>
      <c r="G426" s="7"/>
      <c r="H426" s="7" t="s">
        <v>49</v>
      </c>
    </row>
    <row r="427" spans="1:9" ht="13" x14ac:dyDescent="0.15">
      <c r="C427" s="4">
        <v>0</v>
      </c>
      <c r="E427" s="10">
        <v>6.9444444444444447E-4</v>
      </c>
      <c r="F427" s="4">
        <v>0</v>
      </c>
    </row>
    <row r="428" spans="1:9" ht="13" x14ac:dyDescent="0.15">
      <c r="C428" s="4">
        <v>0</v>
      </c>
      <c r="E428" s="10">
        <v>1.3888888888888889E-3</v>
      </c>
      <c r="F428" s="4">
        <v>0</v>
      </c>
    </row>
    <row r="429" spans="1:9" ht="13" x14ac:dyDescent="0.15">
      <c r="C429" s="4">
        <v>0</v>
      </c>
      <c r="E429" s="10">
        <v>2.0833333333333333E-3</v>
      </c>
      <c r="F429" s="4">
        <v>0</v>
      </c>
    </row>
    <row r="430" spans="1:9" ht="13" x14ac:dyDescent="0.15">
      <c r="C430" s="4">
        <v>0</v>
      </c>
      <c r="E430" s="10">
        <v>2.7777777777777779E-3</v>
      </c>
      <c r="F430" s="4">
        <v>0</v>
      </c>
    </row>
    <row r="431" spans="1:9" ht="13" x14ac:dyDescent="0.15">
      <c r="C431" s="4">
        <v>0</v>
      </c>
      <c r="E431" s="10">
        <v>4.1666666666666664E-2</v>
      </c>
      <c r="F431" s="4">
        <v>1</v>
      </c>
    </row>
    <row r="432" spans="1:9" ht="13" x14ac:dyDescent="0.15">
      <c r="C432" s="4">
        <v>0</v>
      </c>
      <c r="E432" s="10">
        <v>4.2361111111111113E-2</v>
      </c>
      <c r="F432" s="4">
        <v>0</v>
      </c>
    </row>
    <row r="433" spans="3:6" ht="13" x14ac:dyDescent="0.15">
      <c r="C433" s="4">
        <v>0</v>
      </c>
      <c r="E433" s="10">
        <v>4.3055555555555555E-2</v>
      </c>
      <c r="F433" s="4">
        <v>0</v>
      </c>
    </row>
    <row r="434" spans="3:6" ht="13" x14ac:dyDescent="0.15">
      <c r="C434" s="4">
        <v>0</v>
      </c>
      <c r="E434" s="10">
        <v>4.3749999999999997E-2</v>
      </c>
      <c r="F434" s="4">
        <v>0</v>
      </c>
    </row>
    <row r="435" spans="3:6" ht="13" x14ac:dyDescent="0.15">
      <c r="C435" s="4">
        <v>0</v>
      </c>
      <c r="E435" s="10">
        <v>4.4444444444444446E-2</v>
      </c>
      <c r="F435" s="4">
        <v>0</v>
      </c>
    </row>
    <row r="436" spans="3:6" ht="13" x14ac:dyDescent="0.15">
      <c r="C436" s="4">
        <v>0</v>
      </c>
      <c r="E436" s="10">
        <v>8.3333333333333329E-2</v>
      </c>
      <c r="F436" s="4">
        <v>1</v>
      </c>
    </row>
    <row r="437" spans="3:6" ht="13" x14ac:dyDescent="0.15">
      <c r="C437" s="4">
        <v>0</v>
      </c>
      <c r="E437" s="10">
        <v>8.4027777777777785E-2</v>
      </c>
      <c r="F437" s="4">
        <v>0</v>
      </c>
    </row>
    <row r="438" spans="3:6" ht="13" x14ac:dyDescent="0.15">
      <c r="C438" s="4">
        <v>0</v>
      </c>
      <c r="E438" s="10">
        <v>8.4722222222222227E-2</v>
      </c>
      <c r="F438" s="4">
        <v>0</v>
      </c>
    </row>
    <row r="439" spans="3:6" ht="13" x14ac:dyDescent="0.15">
      <c r="C439" s="4">
        <v>0</v>
      </c>
      <c r="E439" s="10">
        <v>8.5416666666666669E-2</v>
      </c>
      <c r="F439" s="4">
        <v>0</v>
      </c>
    </row>
    <row r="440" spans="3:6" ht="13" x14ac:dyDescent="0.15">
      <c r="C440" s="4">
        <v>0</v>
      </c>
      <c r="E440" s="10">
        <v>8.611111111111111E-2</v>
      </c>
      <c r="F440" s="4">
        <v>0</v>
      </c>
    </row>
    <row r="441" spans="3:6" ht="13" x14ac:dyDescent="0.15">
      <c r="C441" s="4">
        <v>0</v>
      </c>
      <c r="E441" s="10">
        <v>0.125</v>
      </c>
      <c r="F441" s="4">
        <v>1</v>
      </c>
    </row>
    <row r="442" spans="3:6" ht="13" x14ac:dyDescent="0.15">
      <c r="C442" s="4">
        <v>0</v>
      </c>
      <c r="E442" s="10">
        <v>0.12569444444444444</v>
      </c>
      <c r="F442" s="4">
        <v>0</v>
      </c>
    </row>
    <row r="443" spans="3:6" ht="13" x14ac:dyDescent="0.15">
      <c r="C443" s="4">
        <v>0</v>
      </c>
      <c r="E443" s="10">
        <v>0.12638888888888888</v>
      </c>
      <c r="F443" s="4">
        <v>0</v>
      </c>
    </row>
    <row r="444" spans="3:6" ht="13" x14ac:dyDescent="0.15">
      <c r="C444" s="4">
        <v>0</v>
      </c>
      <c r="E444" s="10">
        <v>0.12708333333333333</v>
      </c>
      <c r="F444" s="4">
        <v>0</v>
      </c>
    </row>
    <row r="445" spans="3:6" ht="13" x14ac:dyDescent="0.15">
      <c r="C445" s="4">
        <v>0</v>
      </c>
      <c r="E445" s="10">
        <v>0.12777777777777777</v>
      </c>
      <c r="F445" s="4">
        <v>0</v>
      </c>
    </row>
    <row r="446" spans="3:6" ht="13" x14ac:dyDescent="0.15">
      <c r="C446" s="4">
        <v>0</v>
      </c>
      <c r="E446" s="10">
        <v>0.16666666666666666</v>
      </c>
      <c r="F446" s="4">
        <v>1</v>
      </c>
    </row>
    <row r="447" spans="3:6" ht="13" x14ac:dyDescent="0.15">
      <c r="C447" s="4">
        <v>0</v>
      </c>
      <c r="E447" s="10">
        <v>0.1673611111111111</v>
      </c>
      <c r="F447" s="4">
        <v>0</v>
      </c>
    </row>
    <row r="448" spans="3:6" ht="13" x14ac:dyDescent="0.15">
      <c r="C448" s="4">
        <v>0</v>
      </c>
      <c r="E448" s="10">
        <v>0.16805555555555557</v>
      </c>
      <c r="F448" s="4">
        <v>0</v>
      </c>
    </row>
    <row r="449" spans="3:6" ht="13" x14ac:dyDescent="0.15">
      <c r="C449" s="4">
        <v>0</v>
      </c>
      <c r="E449" s="10">
        <v>0.16875000000000001</v>
      </c>
      <c r="F449" s="4">
        <v>0</v>
      </c>
    </row>
    <row r="450" spans="3:6" ht="13" x14ac:dyDescent="0.15">
      <c r="C450" s="4">
        <v>0</v>
      </c>
      <c r="E450" s="10">
        <v>0.16944444444444445</v>
      </c>
      <c r="F450" s="4">
        <v>0</v>
      </c>
    </row>
    <row r="451" spans="3:6" ht="13" x14ac:dyDescent="0.15">
      <c r="C451" s="4">
        <v>0</v>
      </c>
      <c r="E451" s="10">
        <v>0.20833333333333334</v>
      </c>
      <c r="F451" s="4">
        <v>1</v>
      </c>
    </row>
    <row r="452" spans="3:6" ht="13" x14ac:dyDescent="0.15">
      <c r="C452" s="4">
        <v>0</v>
      </c>
      <c r="E452" s="10">
        <v>0.20902777777777778</v>
      </c>
      <c r="F452" s="4">
        <v>0</v>
      </c>
    </row>
    <row r="453" spans="3:6" ht="13" x14ac:dyDescent="0.15">
      <c r="C453" s="4">
        <v>0</v>
      </c>
      <c r="E453" s="10">
        <v>0.20972222222222223</v>
      </c>
      <c r="F453" s="4">
        <v>0</v>
      </c>
    </row>
    <row r="454" spans="3:6" ht="13" x14ac:dyDescent="0.15">
      <c r="C454" s="4">
        <v>0</v>
      </c>
      <c r="E454" s="10">
        <v>0.21041666666666667</v>
      </c>
      <c r="F454" s="4">
        <v>0</v>
      </c>
    </row>
    <row r="455" spans="3:6" ht="13" x14ac:dyDescent="0.15">
      <c r="C455" s="4">
        <v>0</v>
      </c>
      <c r="E455" s="10">
        <v>0.21111111111111111</v>
      </c>
      <c r="F455" s="4">
        <v>0</v>
      </c>
    </row>
    <row r="456" spans="3:6" ht="13" x14ac:dyDescent="0.15">
      <c r="C456" s="4">
        <v>0</v>
      </c>
      <c r="E456" s="10">
        <v>0.25</v>
      </c>
      <c r="F456" s="4">
        <v>1</v>
      </c>
    </row>
    <row r="457" spans="3:6" ht="13" x14ac:dyDescent="0.15">
      <c r="C457" s="4">
        <v>0</v>
      </c>
      <c r="E457" s="10">
        <v>0.25069444444444444</v>
      </c>
      <c r="F457" s="4">
        <v>0</v>
      </c>
    </row>
    <row r="458" spans="3:6" ht="13" x14ac:dyDescent="0.15">
      <c r="C458" s="4">
        <v>0</v>
      </c>
      <c r="E458" s="10">
        <v>0.25138888888888888</v>
      </c>
      <c r="F458" s="4">
        <v>0</v>
      </c>
    </row>
    <row r="459" spans="3:6" ht="13" x14ac:dyDescent="0.15">
      <c r="C459" s="4">
        <v>0</v>
      </c>
      <c r="E459" s="10">
        <v>0.25208333333333333</v>
      </c>
      <c r="F459" s="4">
        <v>0</v>
      </c>
    </row>
    <row r="460" spans="3:6" ht="13" x14ac:dyDescent="0.15">
      <c r="C460" s="4">
        <v>0</v>
      </c>
      <c r="E460" s="10">
        <v>0.25277777777777777</v>
      </c>
      <c r="F460" s="4">
        <v>0</v>
      </c>
    </row>
    <row r="461" spans="3:6" ht="13" x14ac:dyDescent="0.15">
      <c r="C461" s="4">
        <v>0</v>
      </c>
      <c r="E461" s="10">
        <v>0.29166666666666669</v>
      </c>
      <c r="F461" s="4">
        <v>1</v>
      </c>
    </row>
    <row r="462" spans="3:6" ht="13" x14ac:dyDescent="0.15">
      <c r="C462" s="4">
        <v>0</v>
      </c>
      <c r="E462" s="10">
        <v>0.29236111111111113</v>
      </c>
      <c r="F462" s="4">
        <v>0</v>
      </c>
    </row>
    <row r="463" spans="3:6" ht="13" x14ac:dyDescent="0.15">
      <c r="C463" s="4">
        <v>0</v>
      </c>
      <c r="E463" s="10">
        <v>0.29305555555555557</v>
      </c>
      <c r="F463" s="4">
        <v>0</v>
      </c>
    </row>
    <row r="464" spans="3:6" ht="13" x14ac:dyDescent="0.15">
      <c r="C464" s="4">
        <v>0</v>
      </c>
      <c r="E464" s="10">
        <v>0.29375000000000001</v>
      </c>
      <c r="F464" s="4">
        <v>0</v>
      </c>
    </row>
    <row r="465" spans="1:9" ht="13" x14ac:dyDescent="0.15">
      <c r="C465" s="4">
        <v>0</v>
      </c>
      <c r="E465" s="10">
        <v>0.29444444444444445</v>
      </c>
      <c r="F465" s="4">
        <v>0</v>
      </c>
    </row>
    <row r="466" spans="1:9" ht="13" x14ac:dyDescent="0.15">
      <c r="C466" s="4">
        <v>0</v>
      </c>
      <c r="E466" s="10">
        <v>0.83333333333333337</v>
      </c>
      <c r="F466" s="4">
        <v>1</v>
      </c>
    </row>
    <row r="467" spans="1:9" ht="13" x14ac:dyDescent="0.15">
      <c r="C467" s="4">
        <v>0</v>
      </c>
      <c r="E467" s="10">
        <v>0.87569444444444444</v>
      </c>
      <c r="F467" s="4">
        <v>1</v>
      </c>
    </row>
    <row r="468" spans="1:9" ht="13" x14ac:dyDescent="0.15">
      <c r="C468" s="4">
        <v>0</v>
      </c>
      <c r="E468" s="10">
        <v>0.87638888888888888</v>
      </c>
      <c r="F468" s="4">
        <v>0</v>
      </c>
    </row>
    <row r="469" spans="1:9" ht="13" x14ac:dyDescent="0.15">
      <c r="C469" s="4">
        <v>0</v>
      </c>
      <c r="E469" s="10">
        <v>0.87708333333333333</v>
      </c>
      <c r="F469" s="4">
        <v>0</v>
      </c>
    </row>
    <row r="470" spans="1:9" ht="13" x14ac:dyDescent="0.15">
      <c r="C470" s="4">
        <v>0</v>
      </c>
      <c r="E470" s="10">
        <v>0.87777777777777777</v>
      </c>
      <c r="F470" s="4">
        <v>0</v>
      </c>
    </row>
    <row r="471" spans="1:9" ht="13" x14ac:dyDescent="0.15">
      <c r="C471" s="4">
        <v>0</v>
      </c>
      <c r="E471" s="10">
        <v>0.91666666666666663</v>
      </c>
      <c r="F471" s="4">
        <v>1</v>
      </c>
    </row>
    <row r="472" spans="1:9" ht="13" x14ac:dyDescent="0.15">
      <c r="C472" s="4">
        <v>0</v>
      </c>
      <c r="E472" s="10">
        <v>0.91736111111111107</v>
      </c>
      <c r="F472" s="4">
        <v>0</v>
      </c>
    </row>
    <row r="473" spans="1:9" ht="13" x14ac:dyDescent="0.15">
      <c r="C473" s="4">
        <v>0</v>
      </c>
      <c r="E473" s="10">
        <v>0.91874999999999996</v>
      </c>
      <c r="F473" s="4">
        <v>0</v>
      </c>
    </row>
    <row r="474" spans="1:9" ht="13" x14ac:dyDescent="0.15">
      <c r="C474" s="4">
        <v>0</v>
      </c>
      <c r="E474" s="10">
        <v>0.95833333333333337</v>
      </c>
      <c r="F474" s="4">
        <v>1</v>
      </c>
    </row>
    <row r="475" spans="1:9" ht="13" x14ac:dyDescent="0.15">
      <c r="C475" s="4">
        <v>0</v>
      </c>
      <c r="E475" s="10">
        <v>0.95902777777777781</v>
      </c>
      <c r="F475" s="4">
        <v>0</v>
      </c>
    </row>
    <row r="476" spans="1:9" ht="13" x14ac:dyDescent="0.15">
      <c r="C476" s="4">
        <v>0</v>
      </c>
      <c r="E476" s="10">
        <v>0.95972222222222225</v>
      </c>
      <c r="F476" s="4">
        <v>0</v>
      </c>
    </row>
    <row r="477" spans="1:9" ht="13" x14ac:dyDescent="0.15">
      <c r="C477" s="4">
        <v>0</v>
      </c>
      <c r="E477" s="10">
        <v>0.9604166666666667</v>
      </c>
      <c r="F477" s="4">
        <v>0</v>
      </c>
    </row>
    <row r="478" spans="1:9" ht="13" x14ac:dyDescent="0.15">
      <c r="C478" s="4">
        <v>0</v>
      </c>
      <c r="E478" s="10">
        <v>0.96111111111111114</v>
      </c>
      <c r="F478" s="4">
        <v>0</v>
      </c>
    </row>
    <row r="479" spans="1:9" ht="13" x14ac:dyDescent="0.15">
      <c r="A479" s="25"/>
      <c r="B479" s="26" t="s">
        <v>71</v>
      </c>
      <c r="C479" s="26">
        <f>SUM(C426:C478)</f>
        <v>0</v>
      </c>
      <c r="D479" s="25"/>
      <c r="E479" s="25"/>
      <c r="F479" s="26">
        <f>SUM(F426:F478)</f>
        <v>12</v>
      </c>
      <c r="G479" s="26">
        <f>COUNT(F426:F478)</f>
        <v>53</v>
      </c>
      <c r="H479" s="25"/>
      <c r="I479" s="25"/>
    </row>
    <row r="480" spans="1:9" ht="13" x14ac:dyDescent="0.15">
      <c r="A480" s="4" t="s">
        <v>40</v>
      </c>
      <c r="B480" s="4" t="s">
        <v>52</v>
      </c>
      <c r="C480" s="4">
        <v>0</v>
      </c>
      <c r="D480" s="9">
        <v>45875</v>
      </c>
      <c r="E480" s="10">
        <v>0</v>
      </c>
      <c r="F480" s="4">
        <v>1</v>
      </c>
      <c r="G480" s="7"/>
      <c r="H480" s="7" t="s">
        <v>49</v>
      </c>
    </row>
    <row r="481" spans="3:6" ht="13" x14ac:dyDescent="0.15">
      <c r="C481" s="4">
        <v>0</v>
      </c>
      <c r="E481" s="10">
        <v>6.9444444444444447E-4</v>
      </c>
      <c r="F481" s="4">
        <v>0</v>
      </c>
    </row>
    <row r="482" spans="3:6" ht="13" x14ac:dyDescent="0.15">
      <c r="C482" s="4">
        <v>0</v>
      </c>
      <c r="E482" s="10">
        <v>1.3888888888888889E-3</v>
      </c>
      <c r="F482" s="4">
        <v>0</v>
      </c>
    </row>
    <row r="483" spans="3:6" ht="13" x14ac:dyDescent="0.15">
      <c r="C483" s="4">
        <v>0</v>
      </c>
      <c r="E483" s="10">
        <v>2.0833333333333333E-3</v>
      </c>
      <c r="F483" s="4">
        <v>0</v>
      </c>
    </row>
    <row r="484" spans="3:6" ht="13" x14ac:dyDescent="0.15">
      <c r="C484" s="4">
        <v>0</v>
      </c>
      <c r="E484" s="10">
        <v>2.7777777777777779E-3</v>
      </c>
      <c r="F484" s="4">
        <v>0</v>
      </c>
    </row>
    <row r="485" spans="3:6" ht="13" x14ac:dyDescent="0.15">
      <c r="C485" s="4">
        <v>0</v>
      </c>
      <c r="E485" s="10">
        <v>4.1666666666666664E-2</v>
      </c>
      <c r="F485" s="4">
        <v>1</v>
      </c>
    </row>
    <row r="486" spans="3:6" ht="13" x14ac:dyDescent="0.15">
      <c r="C486" s="4">
        <v>0</v>
      </c>
      <c r="E486" s="10">
        <v>4.2361111111111113E-2</v>
      </c>
      <c r="F486" s="4">
        <v>0</v>
      </c>
    </row>
    <row r="487" spans="3:6" ht="13" x14ac:dyDescent="0.15">
      <c r="C487" s="4">
        <v>0</v>
      </c>
      <c r="E487" s="10">
        <v>4.3055555555555555E-2</v>
      </c>
      <c r="F487" s="4">
        <v>0</v>
      </c>
    </row>
    <row r="488" spans="3:6" ht="13" x14ac:dyDescent="0.15">
      <c r="C488" s="4">
        <v>0</v>
      </c>
      <c r="E488" s="10">
        <v>4.3749999999999997E-2</v>
      </c>
      <c r="F488" s="4">
        <v>0</v>
      </c>
    </row>
    <row r="489" spans="3:6" ht="13" x14ac:dyDescent="0.15">
      <c r="C489" s="4">
        <v>0</v>
      </c>
      <c r="E489" s="10">
        <v>4.4444444444444446E-2</v>
      </c>
      <c r="F489" s="4">
        <v>0</v>
      </c>
    </row>
    <row r="490" spans="3:6" ht="13" x14ac:dyDescent="0.15">
      <c r="C490" s="4">
        <v>0</v>
      </c>
      <c r="E490" s="10">
        <v>8.3333333333333329E-2</v>
      </c>
      <c r="F490" s="4">
        <v>1</v>
      </c>
    </row>
    <row r="491" spans="3:6" ht="13" x14ac:dyDescent="0.15">
      <c r="C491" s="4">
        <v>0</v>
      </c>
      <c r="E491" s="10">
        <v>8.4027777777777785E-2</v>
      </c>
      <c r="F491" s="4">
        <v>0</v>
      </c>
    </row>
    <row r="492" spans="3:6" ht="13" x14ac:dyDescent="0.15">
      <c r="C492" s="4">
        <v>0</v>
      </c>
      <c r="E492" s="10">
        <v>8.4722222222222227E-2</v>
      </c>
      <c r="F492" s="4">
        <v>0</v>
      </c>
    </row>
    <row r="493" spans="3:6" ht="13" x14ac:dyDescent="0.15">
      <c r="C493" s="4">
        <v>0</v>
      </c>
      <c r="E493" s="10">
        <v>8.5416666666666669E-2</v>
      </c>
      <c r="F493" s="4">
        <v>0</v>
      </c>
    </row>
    <row r="494" spans="3:6" ht="13" x14ac:dyDescent="0.15">
      <c r="C494" s="4">
        <v>0</v>
      </c>
      <c r="E494" s="10">
        <v>8.611111111111111E-2</v>
      </c>
      <c r="F494" s="4">
        <v>0</v>
      </c>
    </row>
    <row r="495" spans="3:6" ht="13" x14ac:dyDescent="0.15">
      <c r="C495" s="4">
        <v>0</v>
      </c>
      <c r="E495" s="10">
        <v>0.125</v>
      </c>
      <c r="F495" s="4">
        <v>1</v>
      </c>
    </row>
    <row r="496" spans="3:6" ht="13" x14ac:dyDescent="0.15">
      <c r="C496" s="4">
        <v>0</v>
      </c>
      <c r="E496" s="10">
        <v>0.12569444444444444</v>
      </c>
      <c r="F496" s="4">
        <v>0</v>
      </c>
    </row>
    <row r="497" spans="3:6" ht="13" x14ac:dyDescent="0.15">
      <c r="C497" s="4">
        <v>0</v>
      </c>
      <c r="E497" s="10">
        <v>0.12638888888888888</v>
      </c>
      <c r="F497" s="4">
        <v>0</v>
      </c>
    </row>
    <row r="498" spans="3:6" ht="13" x14ac:dyDescent="0.15">
      <c r="C498" s="4">
        <v>0</v>
      </c>
      <c r="E498" s="10">
        <v>0.12708333333333333</v>
      </c>
      <c r="F498" s="4">
        <v>0</v>
      </c>
    </row>
    <row r="499" spans="3:6" ht="13" x14ac:dyDescent="0.15">
      <c r="C499" s="4">
        <v>0</v>
      </c>
      <c r="E499" s="10">
        <v>0.12777777777777777</v>
      </c>
      <c r="F499" s="4">
        <v>0</v>
      </c>
    </row>
    <row r="500" spans="3:6" ht="13" x14ac:dyDescent="0.15">
      <c r="C500" s="4">
        <v>0</v>
      </c>
      <c r="E500" s="10">
        <v>0.16666666666666666</v>
      </c>
      <c r="F500" s="4">
        <v>1</v>
      </c>
    </row>
    <row r="501" spans="3:6" ht="13" x14ac:dyDescent="0.15">
      <c r="C501" s="4">
        <v>0</v>
      </c>
      <c r="E501" s="10">
        <v>0.1673611111111111</v>
      </c>
      <c r="F501" s="4">
        <v>0</v>
      </c>
    </row>
    <row r="502" spans="3:6" ht="13" x14ac:dyDescent="0.15">
      <c r="C502" s="4">
        <v>0</v>
      </c>
      <c r="E502" s="10">
        <v>0.16805555555555557</v>
      </c>
      <c r="F502" s="4">
        <v>0</v>
      </c>
    </row>
    <row r="503" spans="3:6" ht="13" x14ac:dyDescent="0.15">
      <c r="C503" s="4">
        <v>0</v>
      </c>
      <c r="E503" s="10">
        <v>0.16875000000000001</v>
      </c>
      <c r="F503" s="4">
        <v>0</v>
      </c>
    </row>
    <row r="504" spans="3:6" ht="13" x14ac:dyDescent="0.15">
      <c r="C504" s="4">
        <v>0</v>
      </c>
      <c r="E504" s="10">
        <v>0.16944444444444445</v>
      </c>
      <c r="F504" s="4">
        <v>0</v>
      </c>
    </row>
    <row r="505" spans="3:6" ht="13" x14ac:dyDescent="0.15">
      <c r="C505" s="4">
        <v>1</v>
      </c>
      <c r="E505" s="10">
        <v>0.20833333333333334</v>
      </c>
      <c r="F505" s="4">
        <v>1</v>
      </c>
    </row>
    <row r="506" spans="3:6" ht="13" x14ac:dyDescent="0.15">
      <c r="C506" s="4">
        <v>0</v>
      </c>
      <c r="E506" s="10">
        <v>0.20902777777777778</v>
      </c>
      <c r="F506" s="4">
        <v>0</v>
      </c>
    </row>
    <row r="507" spans="3:6" ht="13" x14ac:dyDescent="0.15">
      <c r="C507" s="4">
        <v>0</v>
      </c>
      <c r="E507" s="10">
        <v>0.20972222222222223</v>
      </c>
      <c r="F507" s="4">
        <v>0</v>
      </c>
    </row>
    <row r="508" spans="3:6" ht="13" x14ac:dyDescent="0.15">
      <c r="C508" s="4">
        <v>0</v>
      </c>
      <c r="E508" s="10">
        <v>0.21041666666666667</v>
      </c>
      <c r="F508" s="4">
        <v>0</v>
      </c>
    </row>
    <row r="509" spans="3:6" ht="13" x14ac:dyDescent="0.15">
      <c r="C509" s="4">
        <v>0</v>
      </c>
      <c r="E509" s="10">
        <v>0.21111111111111111</v>
      </c>
      <c r="F509" s="4">
        <v>0</v>
      </c>
    </row>
    <row r="510" spans="3:6" ht="13" x14ac:dyDescent="0.15">
      <c r="C510" s="4">
        <v>1</v>
      </c>
      <c r="E510" s="10">
        <v>0.25</v>
      </c>
      <c r="F510" s="4">
        <v>1</v>
      </c>
    </row>
    <row r="511" spans="3:6" ht="13" x14ac:dyDescent="0.15">
      <c r="C511" s="4">
        <v>0</v>
      </c>
      <c r="E511" s="10">
        <v>0.25069444444444444</v>
      </c>
      <c r="F511" s="4">
        <v>0</v>
      </c>
    </row>
    <row r="512" spans="3:6" ht="13" x14ac:dyDescent="0.15">
      <c r="C512" s="4">
        <v>0</v>
      </c>
      <c r="E512" s="10">
        <v>0.25138888888888888</v>
      </c>
      <c r="F512" s="4">
        <v>0</v>
      </c>
    </row>
    <row r="513" spans="3:6" ht="13" x14ac:dyDescent="0.15">
      <c r="C513" s="4">
        <v>0</v>
      </c>
      <c r="E513" s="10">
        <v>0.25208333333333333</v>
      </c>
      <c r="F513" s="4">
        <v>0</v>
      </c>
    </row>
    <row r="514" spans="3:6" ht="13" x14ac:dyDescent="0.15">
      <c r="C514" s="4">
        <v>0</v>
      </c>
      <c r="E514" s="10">
        <v>0.25277777777777777</v>
      </c>
      <c r="F514" s="4">
        <v>0</v>
      </c>
    </row>
    <row r="515" spans="3:6" ht="13" x14ac:dyDescent="0.15">
      <c r="C515" s="4">
        <v>1</v>
      </c>
      <c r="E515" s="10">
        <v>0.29166666666666669</v>
      </c>
      <c r="F515" s="4">
        <v>1</v>
      </c>
    </row>
    <row r="516" spans="3:6" ht="13" x14ac:dyDescent="0.15">
      <c r="C516" s="4">
        <v>0</v>
      </c>
      <c r="E516" s="10">
        <v>0.29305555555555557</v>
      </c>
      <c r="F516" s="4">
        <v>0</v>
      </c>
    </row>
    <row r="517" spans="3:6" ht="13" x14ac:dyDescent="0.15">
      <c r="C517" s="4">
        <v>0</v>
      </c>
      <c r="E517" s="10">
        <v>0.29444444444444445</v>
      </c>
      <c r="F517" s="4">
        <v>0</v>
      </c>
    </row>
    <row r="518" spans="3:6" ht="13" x14ac:dyDescent="0.15">
      <c r="C518" s="4">
        <v>1</v>
      </c>
      <c r="E518" s="10">
        <v>0.33333333333333331</v>
      </c>
      <c r="F518" s="4">
        <v>1</v>
      </c>
    </row>
    <row r="519" spans="3:6" ht="13" x14ac:dyDescent="0.15">
      <c r="C519" s="4">
        <v>0</v>
      </c>
      <c r="E519" s="10">
        <v>0.33402777777777776</v>
      </c>
      <c r="F519" s="4">
        <v>0</v>
      </c>
    </row>
    <row r="520" spans="3:6" ht="13" x14ac:dyDescent="0.15">
      <c r="C520" s="4">
        <v>0</v>
      </c>
      <c r="E520" s="10">
        <v>0.3347222222222222</v>
      </c>
      <c r="F520" s="4">
        <v>0</v>
      </c>
    </row>
    <row r="521" spans="3:6" ht="13" x14ac:dyDescent="0.15">
      <c r="C521" s="4">
        <v>0</v>
      </c>
      <c r="E521" s="10">
        <v>0.33541666666666664</v>
      </c>
      <c r="F521" s="4">
        <v>0</v>
      </c>
    </row>
    <row r="522" spans="3:6" ht="13" x14ac:dyDescent="0.15">
      <c r="C522" s="4">
        <v>0</v>
      </c>
      <c r="E522" s="10">
        <v>0.33611111111111114</v>
      </c>
      <c r="F522" s="4">
        <v>0</v>
      </c>
    </row>
    <row r="523" spans="3:6" ht="13" x14ac:dyDescent="0.15">
      <c r="C523" s="4">
        <v>1</v>
      </c>
      <c r="E523" s="10">
        <v>0.41736111111111113</v>
      </c>
      <c r="F523" s="4">
        <v>1</v>
      </c>
    </row>
    <row r="524" spans="3:6" ht="13" x14ac:dyDescent="0.15">
      <c r="C524" s="4">
        <v>0</v>
      </c>
      <c r="E524" s="10">
        <v>0.41805555555555557</v>
      </c>
      <c r="F524" s="4">
        <v>0</v>
      </c>
    </row>
    <row r="525" spans="3:6" ht="13" x14ac:dyDescent="0.15">
      <c r="C525" s="4">
        <v>0</v>
      </c>
      <c r="E525" s="10">
        <v>0.41944444444444445</v>
      </c>
      <c r="F525" s="4">
        <v>0</v>
      </c>
    </row>
    <row r="526" spans="3:6" ht="13" x14ac:dyDescent="0.15">
      <c r="C526" s="4">
        <v>0</v>
      </c>
      <c r="E526" s="10">
        <v>0.70833333333333337</v>
      </c>
      <c r="F526" s="4">
        <v>1</v>
      </c>
    </row>
    <row r="527" spans="3:6" ht="13" x14ac:dyDescent="0.15">
      <c r="C527" s="4">
        <v>0</v>
      </c>
      <c r="E527" s="10">
        <v>0.70902777777777781</v>
      </c>
      <c r="F527" s="4">
        <v>0</v>
      </c>
    </row>
    <row r="528" spans="3:6" ht="13" x14ac:dyDescent="0.15">
      <c r="C528" s="4">
        <v>0</v>
      </c>
      <c r="E528" s="10">
        <v>0.70972222222222225</v>
      </c>
      <c r="F528" s="4">
        <v>0</v>
      </c>
    </row>
    <row r="529" spans="1:9" ht="13" x14ac:dyDescent="0.15">
      <c r="C529" s="4">
        <v>0</v>
      </c>
      <c r="E529" s="10">
        <v>0.71111111111111114</v>
      </c>
      <c r="F529" s="4">
        <v>0</v>
      </c>
    </row>
    <row r="530" spans="1:9" ht="13" x14ac:dyDescent="0.15">
      <c r="A530" s="25"/>
      <c r="B530" s="26" t="s">
        <v>71</v>
      </c>
      <c r="C530" s="26">
        <f>SUM(C480:C529)</f>
        <v>5</v>
      </c>
      <c r="D530" s="25"/>
      <c r="E530" s="25"/>
      <c r="F530" s="26">
        <f>SUM(F480:F529)</f>
        <v>11</v>
      </c>
      <c r="G530" s="26">
        <f>COUNT(F480:F529)</f>
        <v>50</v>
      </c>
      <c r="H530" s="25"/>
      <c r="I530" s="25"/>
    </row>
    <row r="531" spans="1:9" ht="13" x14ac:dyDescent="0.15">
      <c r="A531" s="4" t="s">
        <v>40</v>
      </c>
      <c r="B531" s="4" t="s">
        <v>52</v>
      </c>
      <c r="C531" s="4">
        <v>0</v>
      </c>
      <c r="D531" s="9">
        <v>45876</v>
      </c>
      <c r="E531" s="10">
        <v>4.2361111111111113E-2</v>
      </c>
      <c r="F531" s="4">
        <v>1</v>
      </c>
      <c r="G531" s="7"/>
      <c r="H531" s="7" t="s">
        <v>49</v>
      </c>
    </row>
    <row r="532" spans="1:9" ht="13" x14ac:dyDescent="0.15">
      <c r="C532" s="4">
        <v>0</v>
      </c>
      <c r="E532" s="10">
        <v>4.3749999999999997E-2</v>
      </c>
      <c r="F532" s="4">
        <v>0</v>
      </c>
    </row>
    <row r="533" spans="1:9" ht="13" x14ac:dyDescent="0.15">
      <c r="C533" s="4">
        <v>0</v>
      </c>
      <c r="E533" s="10">
        <v>0.125</v>
      </c>
      <c r="F533" s="4">
        <v>1</v>
      </c>
    </row>
    <row r="534" spans="1:9" ht="13" x14ac:dyDescent="0.15">
      <c r="C534" s="4">
        <v>0</v>
      </c>
      <c r="E534" s="10">
        <v>0.12569444444444444</v>
      </c>
      <c r="F534" s="4">
        <v>0</v>
      </c>
    </row>
    <row r="535" spans="1:9" ht="13" x14ac:dyDescent="0.15">
      <c r="C535" s="4">
        <v>0</v>
      </c>
      <c r="E535" s="10">
        <v>0.12638888888888888</v>
      </c>
      <c r="F535" s="4">
        <v>0</v>
      </c>
    </row>
    <row r="536" spans="1:9" ht="13" x14ac:dyDescent="0.15">
      <c r="C536" s="4">
        <v>0</v>
      </c>
      <c r="E536" s="10">
        <v>0.12777777777777777</v>
      </c>
      <c r="F536" s="4">
        <v>0</v>
      </c>
    </row>
    <row r="537" spans="1:9" ht="13" x14ac:dyDescent="0.15">
      <c r="C537" s="4">
        <v>1</v>
      </c>
      <c r="E537" s="10">
        <v>0.25069444444444444</v>
      </c>
      <c r="F537" s="4">
        <v>1</v>
      </c>
    </row>
    <row r="538" spans="1:9" ht="13" x14ac:dyDescent="0.15">
      <c r="C538" s="4">
        <v>0</v>
      </c>
      <c r="E538" s="10">
        <v>0.25208333333333333</v>
      </c>
      <c r="F538" s="4">
        <v>0</v>
      </c>
    </row>
    <row r="539" spans="1:9" ht="13" x14ac:dyDescent="0.15">
      <c r="C539" s="4">
        <v>0</v>
      </c>
      <c r="E539" s="10">
        <v>0.91874999999999996</v>
      </c>
      <c r="F539" s="4">
        <v>1</v>
      </c>
    </row>
    <row r="540" spans="1:9" ht="13" x14ac:dyDescent="0.15">
      <c r="C540" s="4">
        <v>0</v>
      </c>
      <c r="E540" s="10">
        <v>0.95833333333333337</v>
      </c>
      <c r="F540" s="4">
        <v>1</v>
      </c>
    </row>
    <row r="541" spans="1:9" ht="13" x14ac:dyDescent="0.15">
      <c r="C541" s="4">
        <v>0</v>
      </c>
      <c r="E541" s="10">
        <v>0.95902777777777781</v>
      </c>
      <c r="F541" s="4">
        <v>0</v>
      </c>
    </row>
    <row r="542" spans="1:9" ht="13" x14ac:dyDescent="0.15">
      <c r="C542" s="4">
        <v>0</v>
      </c>
      <c r="E542" s="10">
        <v>0.95972222222222225</v>
      </c>
      <c r="F542" s="4">
        <v>0</v>
      </c>
    </row>
    <row r="543" spans="1:9" ht="13" x14ac:dyDescent="0.15">
      <c r="C543" s="4">
        <v>0</v>
      </c>
      <c r="E543" s="10">
        <v>0.9604166666666667</v>
      </c>
      <c r="F543" s="4">
        <v>0</v>
      </c>
    </row>
    <row r="544" spans="1:9" ht="13" x14ac:dyDescent="0.15">
      <c r="A544" s="25"/>
      <c r="B544" s="26" t="s">
        <v>71</v>
      </c>
      <c r="C544" s="26">
        <f>SUM(C531:C543)</f>
        <v>1</v>
      </c>
      <c r="D544" s="25"/>
      <c r="E544" s="25"/>
      <c r="F544" s="26">
        <f>SUM(F531:F543)</f>
        <v>5</v>
      </c>
      <c r="G544" s="26">
        <f>COUNT(F531:F543)</f>
        <v>13</v>
      </c>
      <c r="H544" s="25"/>
      <c r="I544" s="25"/>
    </row>
    <row r="545" spans="1:8" ht="13" x14ac:dyDescent="0.15">
      <c r="A545" s="4" t="s">
        <v>40</v>
      </c>
      <c r="B545" s="4" t="s">
        <v>52</v>
      </c>
      <c r="C545" s="4">
        <v>0</v>
      </c>
      <c r="D545" s="9">
        <v>45877</v>
      </c>
      <c r="E545" s="10">
        <v>0</v>
      </c>
      <c r="F545" s="4">
        <v>1</v>
      </c>
      <c r="G545" s="7"/>
      <c r="H545" s="7" t="s">
        <v>49</v>
      </c>
    </row>
    <row r="546" spans="1:8" ht="13" x14ac:dyDescent="0.15">
      <c r="C546" s="4">
        <v>0</v>
      </c>
      <c r="E546" s="10">
        <v>1.3888888888888889E-3</v>
      </c>
      <c r="F546" s="4">
        <v>0</v>
      </c>
    </row>
    <row r="547" spans="1:8" ht="13" x14ac:dyDescent="0.15">
      <c r="C547" s="4">
        <v>0</v>
      </c>
      <c r="E547" s="10">
        <v>2.7777777777777779E-3</v>
      </c>
      <c r="F547" s="4">
        <v>0</v>
      </c>
    </row>
    <row r="548" spans="1:8" ht="13" x14ac:dyDescent="0.15">
      <c r="C548" s="4">
        <v>0</v>
      </c>
      <c r="E548" s="10">
        <v>4.1666666666666664E-2</v>
      </c>
      <c r="F548" s="4">
        <v>1</v>
      </c>
    </row>
    <row r="549" spans="1:8" ht="13" x14ac:dyDescent="0.15">
      <c r="C549" s="4">
        <v>0</v>
      </c>
      <c r="E549" s="10">
        <v>4.2361111111111113E-2</v>
      </c>
      <c r="F549" s="4">
        <v>0</v>
      </c>
    </row>
    <row r="550" spans="1:8" ht="13" x14ac:dyDescent="0.15">
      <c r="C550" s="4">
        <v>0</v>
      </c>
      <c r="E550" s="10">
        <v>4.3055555555555555E-2</v>
      </c>
      <c r="F550" s="4">
        <v>0</v>
      </c>
    </row>
    <row r="551" spans="1:8" ht="13" x14ac:dyDescent="0.15">
      <c r="C551" s="4">
        <v>0</v>
      </c>
      <c r="E551" s="10">
        <v>4.3749999999999997E-2</v>
      </c>
      <c r="F551" s="4">
        <v>0</v>
      </c>
    </row>
    <row r="552" spans="1:8" ht="13" x14ac:dyDescent="0.15">
      <c r="C552" s="4">
        <v>0</v>
      </c>
      <c r="E552" s="10">
        <v>8.3333333333333329E-2</v>
      </c>
      <c r="F552" s="4">
        <v>1</v>
      </c>
    </row>
    <row r="553" spans="1:8" ht="13" x14ac:dyDescent="0.15">
      <c r="C553" s="4">
        <v>0</v>
      </c>
      <c r="E553" s="10">
        <v>8.4027777777777785E-2</v>
      </c>
      <c r="F553" s="4">
        <v>0</v>
      </c>
    </row>
    <row r="554" spans="1:8" ht="13" x14ac:dyDescent="0.15">
      <c r="C554" s="4">
        <v>0</v>
      </c>
      <c r="E554" s="10">
        <v>8.4722222222222227E-2</v>
      </c>
      <c r="F554" s="4">
        <v>0</v>
      </c>
    </row>
    <row r="555" spans="1:8" ht="13" x14ac:dyDescent="0.15">
      <c r="C555" s="4">
        <v>0</v>
      </c>
      <c r="E555" s="10">
        <v>8.5416666666666669E-2</v>
      </c>
      <c r="F555" s="4">
        <v>0</v>
      </c>
    </row>
    <row r="556" spans="1:8" ht="13" x14ac:dyDescent="0.15">
      <c r="C556" s="4">
        <v>0</v>
      </c>
      <c r="E556" s="10">
        <v>8.611111111111111E-2</v>
      </c>
      <c r="F556" s="4">
        <v>0</v>
      </c>
    </row>
    <row r="557" spans="1:8" ht="13" x14ac:dyDescent="0.15">
      <c r="C557" s="4">
        <v>0</v>
      </c>
      <c r="E557" s="10">
        <v>0.125</v>
      </c>
      <c r="F557" s="4">
        <v>1</v>
      </c>
    </row>
    <row r="558" spans="1:8" ht="13" x14ac:dyDescent="0.15">
      <c r="C558" s="4">
        <v>0</v>
      </c>
      <c r="E558" s="10">
        <v>0.12569444444444444</v>
      </c>
      <c r="F558" s="4">
        <v>0</v>
      </c>
    </row>
    <row r="559" spans="1:8" ht="13" x14ac:dyDescent="0.15">
      <c r="C559" s="4">
        <v>0</v>
      </c>
      <c r="E559" s="10">
        <v>0.12638888888888888</v>
      </c>
      <c r="F559" s="4">
        <v>0</v>
      </c>
    </row>
    <row r="560" spans="1:8" ht="13" x14ac:dyDescent="0.15">
      <c r="C560" s="4">
        <v>0</v>
      </c>
      <c r="E560" s="10">
        <v>0.12708333333333333</v>
      </c>
      <c r="F560" s="4">
        <v>0</v>
      </c>
    </row>
    <row r="561" spans="3:6" ht="13" x14ac:dyDescent="0.15">
      <c r="C561" s="4">
        <v>0</v>
      </c>
      <c r="E561" s="10">
        <v>0.12777777777777777</v>
      </c>
      <c r="F561" s="4">
        <v>0</v>
      </c>
    </row>
    <row r="562" spans="3:6" ht="13" x14ac:dyDescent="0.15">
      <c r="C562" s="4">
        <v>1</v>
      </c>
      <c r="E562" s="10">
        <v>0.16666666666666666</v>
      </c>
      <c r="F562" s="4">
        <v>1</v>
      </c>
    </row>
    <row r="563" spans="3:6" ht="13" x14ac:dyDescent="0.15">
      <c r="C563" s="4">
        <v>0</v>
      </c>
      <c r="E563" s="10">
        <v>0.1673611111111111</v>
      </c>
      <c r="F563" s="4">
        <v>0</v>
      </c>
    </row>
    <row r="564" spans="3:6" ht="13" x14ac:dyDescent="0.15">
      <c r="C564" s="4">
        <v>0</v>
      </c>
      <c r="E564" s="10">
        <v>0.16805555555555557</v>
      </c>
      <c r="F564" s="4">
        <v>0</v>
      </c>
    </row>
    <row r="565" spans="3:6" ht="13" x14ac:dyDescent="0.15">
      <c r="C565" s="4">
        <v>0</v>
      </c>
      <c r="E565" s="10">
        <v>0.16875000000000001</v>
      </c>
      <c r="F565" s="4">
        <v>0</v>
      </c>
    </row>
    <row r="566" spans="3:6" ht="13" x14ac:dyDescent="0.15">
      <c r="C566" s="4">
        <v>0</v>
      </c>
      <c r="E566" s="10">
        <v>0.16944444444444445</v>
      </c>
      <c r="F566" s="4">
        <v>0</v>
      </c>
    </row>
    <row r="567" spans="3:6" ht="13" x14ac:dyDescent="0.15">
      <c r="C567" s="4">
        <v>0</v>
      </c>
      <c r="E567" s="10">
        <v>0.20833333333333334</v>
      </c>
      <c r="F567" s="4">
        <v>1</v>
      </c>
    </row>
    <row r="568" spans="3:6" ht="13" x14ac:dyDescent="0.15">
      <c r="C568" s="4">
        <v>0</v>
      </c>
      <c r="E568" s="10">
        <v>0.20902777777777778</v>
      </c>
      <c r="F568" s="4">
        <v>0</v>
      </c>
    </row>
    <row r="569" spans="3:6" ht="13" x14ac:dyDescent="0.15">
      <c r="C569" s="4">
        <v>0</v>
      </c>
      <c r="E569" s="10">
        <v>0.20972222222222223</v>
      </c>
      <c r="F569" s="4">
        <v>0</v>
      </c>
    </row>
    <row r="570" spans="3:6" ht="13" x14ac:dyDescent="0.15">
      <c r="C570" s="4">
        <v>0</v>
      </c>
      <c r="E570" s="10">
        <v>0.21041666666666667</v>
      </c>
      <c r="F570" s="4">
        <v>0</v>
      </c>
    </row>
    <row r="571" spans="3:6" ht="13" x14ac:dyDescent="0.15">
      <c r="C571" s="4">
        <v>0</v>
      </c>
      <c r="E571" s="10">
        <v>0.21111111111111111</v>
      </c>
      <c r="F571" s="4">
        <v>0</v>
      </c>
    </row>
    <row r="572" spans="3:6" ht="13" x14ac:dyDescent="0.15">
      <c r="C572" s="4">
        <v>0</v>
      </c>
      <c r="E572" s="10">
        <v>0.25</v>
      </c>
      <c r="F572" s="4">
        <v>1</v>
      </c>
    </row>
    <row r="573" spans="3:6" ht="13" x14ac:dyDescent="0.15">
      <c r="C573" s="4">
        <v>0</v>
      </c>
      <c r="E573" s="10">
        <v>0.25069444444444444</v>
      </c>
      <c r="F573" s="4">
        <v>0</v>
      </c>
    </row>
    <row r="574" spans="3:6" ht="13" x14ac:dyDescent="0.15">
      <c r="C574" s="4">
        <v>0</v>
      </c>
      <c r="E574" s="10">
        <v>0.25138888888888888</v>
      </c>
      <c r="F574" s="4">
        <v>0</v>
      </c>
    </row>
    <row r="575" spans="3:6" ht="13" x14ac:dyDescent="0.15">
      <c r="C575" s="4">
        <v>0</v>
      </c>
      <c r="E575" s="10">
        <v>0.25208333333333333</v>
      </c>
      <c r="F575" s="4">
        <v>0</v>
      </c>
    </row>
    <row r="576" spans="3:6" ht="13" x14ac:dyDescent="0.15">
      <c r="C576" s="4">
        <v>0</v>
      </c>
      <c r="E576" s="10">
        <v>0.25277777777777777</v>
      </c>
      <c r="F576" s="4">
        <v>0</v>
      </c>
    </row>
    <row r="577" spans="1:9" ht="13" x14ac:dyDescent="0.15">
      <c r="A577" s="29"/>
      <c r="B577" s="31" t="s">
        <v>71</v>
      </c>
      <c r="C577" s="31">
        <f>SUM(C545:C576)</f>
        <v>1</v>
      </c>
      <c r="D577" s="29"/>
      <c r="E577" s="29"/>
      <c r="F577" s="31">
        <f>SUM(F545:F576)</f>
        <v>7</v>
      </c>
      <c r="G577" s="31">
        <f>COUNT(F545:F576)</f>
        <v>32</v>
      </c>
      <c r="H577" s="29"/>
      <c r="I577" s="29"/>
    </row>
    <row r="578" spans="1:9" ht="14" x14ac:dyDescent="0.15">
      <c r="A578" s="4" t="s">
        <v>40</v>
      </c>
      <c r="B578" s="4" t="s">
        <v>37</v>
      </c>
      <c r="C578" s="4">
        <v>0</v>
      </c>
      <c r="D578" s="9">
        <v>45871</v>
      </c>
      <c r="E578" s="10">
        <v>0.25208333333333333</v>
      </c>
      <c r="F578" s="4">
        <v>1</v>
      </c>
      <c r="H578" s="11" t="s">
        <v>39</v>
      </c>
    </row>
    <row r="579" spans="1:9" ht="13" x14ac:dyDescent="0.15">
      <c r="C579" s="4">
        <v>0</v>
      </c>
      <c r="E579" s="10">
        <v>0.25277777777777777</v>
      </c>
      <c r="F579" s="4">
        <v>0</v>
      </c>
    </row>
    <row r="580" spans="1:9" ht="13" x14ac:dyDescent="0.15">
      <c r="A580" s="25"/>
      <c r="B580" s="26" t="s">
        <v>71</v>
      </c>
      <c r="C580" s="26">
        <v>0</v>
      </c>
      <c r="D580" s="25"/>
      <c r="E580" s="25"/>
      <c r="F580" s="26">
        <v>1</v>
      </c>
      <c r="G580" s="26">
        <f>COUNT(F578:F579)</f>
        <v>2</v>
      </c>
      <c r="H580" s="25"/>
      <c r="I580" s="25"/>
    </row>
    <row r="581" spans="1:9" ht="14" x14ac:dyDescent="0.15">
      <c r="A581" s="4" t="s">
        <v>40</v>
      </c>
      <c r="B581" s="4" t="s">
        <v>37</v>
      </c>
      <c r="C581" s="4">
        <v>0</v>
      </c>
      <c r="D581" s="9">
        <v>45873</v>
      </c>
      <c r="E581" s="10">
        <v>0.25138888888888888</v>
      </c>
      <c r="F581" s="4">
        <v>1</v>
      </c>
      <c r="H581" s="11" t="s">
        <v>39</v>
      </c>
    </row>
    <row r="582" spans="1:9" ht="13" x14ac:dyDescent="0.15">
      <c r="A582" s="25"/>
      <c r="B582" s="26" t="s">
        <v>71</v>
      </c>
      <c r="C582" s="26">
        <v>0</v>
      </c>
      <c r="D582" s="25"/>
      <c r="E582" s="25"/>
      <c r="F582" s="26">
        <v>1</v>
      </c>
      <c r="G582" s="26">
        <f>COUNT(F581)</f>
        <v>1</v>
      </c>
      <c r="H582" s="25"/>
      <c r="I582" s="25"/>
    </row>
    <row r="583" spans="1:9" ht="14" x14ac:dyDescent="0.15">
      <c r="A583" s="4" t="s">
        <v>40</v>
      </c>
      <c r="B583" s="4" t="s">
        <v>37</v>
      </c>
      <c r="C583" s="4">
        <v>0</v>
      </c>
      <c r="D583" s="9">
        <v>45874</v>
      </c>
      <c r="E583" s="10">
        <v>0.25208333333333333</v>
      </c>
      <c r="F583" s="4">
        <v>1</v>
      </c>
      <c r="H583" s="11" t="s">
        <v>39</v>
      </c>
    </row>
    <row r="584" spans="1:9" ht="13" x14ac:dyDescent="0.15">
      <c r="A584" s="25"/>
      <c r="B584" s="26" t="s">
        <v>71</v>
      </c>
      <c r="C584" s="26">
        <v>0</v>
      </c>
      <c r="D584" s="25"/>
      <c r="E584" s="25"/>
      <c r="F584" s="26">
        <v>1</v>
      </c>
      <c r="G584" s="26">
        <f>COUNT(F583)</f>
        <v>1</v>
      </c>
      <c r="H584" s="25"/>
      <c r="I584" s="25"/>
    </row>
    <row r="585" spans="1:9" ht="14" x14ac:dyDescent="0.15">
      <c r="A585" s="4" t="s">
        <v>40</v>
      </c>
      <c r="B585" s="4" t="s">
        <v>37</v>
      </c>
      <c r="C585" s="4">
        <v>0</v>
      </c>
      <c r="D585" s="9">
        <v>45877</v>
      </c>
      <c r="E585" s="10">
        <v>8.3333333333333329E-2</v>
      </c>
      <c r="F585" s="4">
        <v>1</v>
      </c>
      <c r="H585" s="11" t="s">
        <v>39</v>
      </c>
    </row>
    <row r="586" spans="1:9" ht="13" x14ac:dyDescent="0.15">
      <c r="A586" s="52"/>
      <c r="B586" s="53" t="s">
        <v>71</v>
      </c>
      <c r="C586" s="53">
        <v>0</v>
      </c>
      <c r="D586" s="52"/>
      <c r="E586" s="52"/>
      <c r="F586" s="53">
        <v>1</v>
      </c>
      <c r="G586" s="53">
        <f>COUNT(F585)</f>
        <v>1</v>
      </c>
      <c r="H586" s="52"/>
      <c r="I586" s="52"/>
    </row>
    <row r="587" spans="1:9" ht="28" x14ac:dyDescent="0.15">
      <c r="A587" s="4" t="s">
        <v>40</v>
      </c>
      <c r="B587" s="4" t="s">
        <v>23</v>
      </c>
      <c r="D587" s="9">
        <v>45871</v>
      </c>
      <c r="E587" s="10">
        <v>0.16875000000000001</v>
      </c>
      <c r="F587" s="4">
        <v>1</v>
      </c>
      <c r="H587" s="15" t="s">
        <v>29</v>
      </c>
    </row>
    <row r="588" spans="1:9" ht="13" x14ac:dyDescent="0.15">
      <c r="D588" s="9"/>
      <c r="E588" s="10">
        <v>0.21041666666666667</v>
      </c>
      <c r="F588" s="4">
        <v>1</v>
      </c>
    </row>
    <row r="589" spans="1:9" ht="13" x14ac:dyDescent="0.15">
      <c r="D589" s="9"/>
      <c r="E589" s="10">
        <v>0.21111111111111111</v>
      </c>
      <c r="F589" s="4">
        <v>0</v>
      </c>
    </row>
    <row r="590" spans="1:9" ht="13" x14ac:dyDescent="0.15">
      <c r="A590" s="25"/>
      <c r="B590" s="26" t="s">
        <v>71</v>
      </c>
      <c r="C590" s="26"/>
      <c r="D590" s="50"/>
      <c r="E590" s="27"/>
      <c r="F590" s="26">
        <f>SUM(F587:F589)</f>
        <v>2</v>
      </c>
      <c r="G590" s="26">
        <f>COUNT(F587:F589)</f>
        <v>3</v>
      </c>
      <c r="H590" s="26"/>
      <c r="I590" s="25"/>
    </row>
    <row r="591" spans="1:9" ht="28" x14ac:dyDescent="0.15">
      <c r="A591" s="4" t="s">
        <v>40</v>
      </c>
      <c r="B591" s="4" t="s">
        <v>23</v>
      </c>
      <c r="D591" s="9">
        <v>45875</v>
      </c>
      <c r="E591" s="10">
        <v>0.58402777777777781</v>
      </c>
      <c r="F591" s="4">
        <v>1</v>
      </c>
      <c r="H591" s="15" t="s">
        <v>29</v>
      </c>
    </row>
    <row r="592" spans="1:9" ht="13" x14ac:dyDescent="0.15">
      <c r="D592" s="9"/>
      <c r="E592" s="10">
        <v>0.58472222222222225</v>
      </c>
      <c r="F592" s="4">
        <v>0</v>
      </c>
    </row>
    <row r="593" spans="1:9" ht="13" x14ac:dyDescent="0.15">
      <c r="D593" s="9"/>
      <c r="E593" s="10">
        <v>0.71111111111111114</v>
      </c>
      <c r="F593" s="4">
        <v>1</v>
      </c>
    </row>
    <row r="594" spans="1:9" ht="13" x14ac:dyDescent="0.15">
      <c r="D594" s="9"/>
      <c r="E594" s="10">
        <v>0.7944444444444444</v>
      </c>
      <c r="F594" s="4">
        <v>1</v>
      </c>
    </row>
    <row r="595" spans="1:9" ht="13" x14ac:dyDescent="0.15">
      <c r="D595" s="9"/>
      <c r="E595" s="10">
        <v>0.83611111111111114</v>
      </c>
      <c r="F595" s="4">
        <v>1</v>
      </c>
    </row>
    <row r="596" spans="1:9" ht="13" x14ac:dyDescent="0.15">
      <c r="A596" s="25"/>
      <c r="B596" s="26" t="s">
        <v>71</v>
      </c>
      <c r="C596" s="26"/>
      <c r="D596" s="26"/>
      <c r="E596" s="26"/>
      <c r="F596" s="26"/>
      <c r="G596" s="26">
        <f>COUNT(F591:F595)</f>
        <v>5</v>
      </c>
      <c r="H596" s="26"/>
      <c r="I596" s="26"/>
    </row>
    <row r="597" spans="1:9" ht="28" x14ac:dyDescent="0.15">
      <c r="A597" s="4" t="s">
        <v>40</v>
      </c>
      <c r="B597" s="4" t="s">
        <v>23</v>
      </c>
      <c r="D597" s="9">
        <v>45876</v>
      </c>
      <c r="E597" s="10">
        <v>0.83333333333333337</v>
      </c>
      <c r="F597" s="4">
        <v>1</v>
      </c>
      <c r="H597" s="15" t="s">
        <v>29</v>
      </c>
    </row>
    <row r="598" spans="1:9" ht="13" x14ac:dyDescent="0.15">
      <c r="D598" s="9"/>
      <c r="E598" s="10">
        <v>0.83402777777777781</v>
      </c>
      <c r="F598" s="4">
        <v>0</v>
      </c>
    </row>
    <row r="599" spans="1:9" ht="13" x14ac:dyDescent="0.15">
      <c r="D599" s="9"/>
      <c r="E599" s="10">
        <v>0.83472222222222225</v>
      </c>
      <c r="F599" s="4">
        <v>0</v>
      </c>
    </row>
    <row r="600" spans="1:9" ht="13" x14ac:dyDescent="0.15">
      <c r="D600" s="9"/>
      <c r="E600" s="10">
        <v>0.8354166666666667</v>
      </c>
      <c r="F600" s="4">
        <v>0</v>
      </c>
    </row>
    <row r="601" spans="1:9" ht="13" x14ac:dyDescent="0.15">
      <c r="D601" s="9"/>
      <c r="E601" s="10">
        <v>0.87569444444444444</v>
      </c>
      <c r="F601" s="4">
        <v>1</v>
      </c>
    </row>
    <row r="602" spans="1:9" ht="13" x14ac:dyDescent="0.15">
      <c r="D602" s="9"/>
      <c r="E602" s="10">
        <v>0.87638888888888888</v>
      </c>
      <c r="F602" s="4">
        <v>0</v>
      </c>
    </row>
    <row r="603" spans="1:9" ht="13" x14ac:dyDescent="0.15">
      <c r="E603" s="10">
        <v>0.87708333333333333</v>
      </c>
      <c r="F603" s="4">
        <v>0</v>
      </c>
    </row>
    <row r="604" spans="1:9" ht="13" x14ac:dyDescent="0.15">
      <c r="A604" s="25"/>
      <c r="B604" s="26" t="s">
        <v>71</v>
      </c>
      <c r="C604" s="26"/>
      <c r="D604" s="26"/>
      <c r="E604" s="26"/>
      <c r="F604" s="26">
        <f>SUM(F597:F603)</f>
        <v>2</v>
      </c>
      <c r="G604" s="26">
        <f>COUNT(F597:F603)</f>
        <v>7</v>
      </c>
      <c r="H604" s="26"/>
      <c r="I604" s="26"/>
    </row>
    <row r="605" spans="1:9" ht="28" x14ac:dyDescent="0.15">
      <c r="A605" s="4" t="s">
        <v>40</v>
      </c>
      <c r="B605" s="4" t="s">
        <v>23</v>
      </c>
      <c r="D605" s="9">
        <v>45877</v>
      </c>
      <c r="E605" s="10">
        <v>0</v>
      </c>
      <c r="F605" s="4">
        <v>1</v>
      </c>
      <c r="H605" s="15" t="s">
        <v>29</v>
      </c>
    </row>
    <row r="606" spans="1:9" ht="13" x14ac:dyDescent="0.15">
      <c r="E606" s="10">
        <v>6.9444444444444447E-4</v>
      </c>
      <c r="F606" s="4">
        <v>0</v>
      </c>
    </row>
    <row r="607" spans="1:9" ht="13" x14ac:dyDescent="0.15">
      <c r="E607" s="10">
        <v>1.3888888888888889E-3</v>
      </c>
      <c r="F607" s="4">
        <v>0</v>
      </c>
    </row>
    <row r="608" spans="1:9" ht="13" x14ac:dyDescent="0.15">
      <c r="E608" s="10">
        <v>2.0833333333333333E-3</v>
      </c>
      <c r="F608" s="4">
        <v>0</v>
      </c>
    </row>
    <row r="609" spans="1:9" ht="13" x14ac:dyDescent="0.15">
      <c r="E609" s="10">
        <v>2.7777777777777779E-3</v>
      </c>
      <c r="F609" s="4">
        <v>0</v>
      </c>
    </row>
    <row r="610" spans="1:9" ht="13" x14ac:dyDescent="0.15">
      <c r="E610" s="10">
        <v>4.1666666666666664E-2</v>
      </c>
      <c r="F610" s="4">
        <v>1</v>
      </c>
    </row>
    <row r="611" spans="1:9" ht="13" x14ac:dyDescent="0.15">
      <c r="E611" s="10">
        <v>4.2361111111111113E-2</v>
      </c>
      <c r="F611" s="4">
        <v>0</v>
      </c>
    </row>
    <row r="612" spans="1:9" ht="13" x14ac:dyDescent="0.15">
      <c r="E612" s="10">
        <v>4.3055555555555555E-2</v>
      </c>
      <c r="F612" s="4">
        <v>0</v>
      </c>
    </row>
    <row r="613" spans="1:9" ht="13" x14ac:dyDescent="0.15">
      <c r="E613" s="10">
        <v>4.3749999999999997E-2</v>
      </c>
      <c r="F613" s="4">
        <v>0</v>
      </c>
    </row>
    <row r="614" spans="1:9" ht="13" x14ac:dyDescent="0.15">
      <c r="E614" s="10">
        <v>8.3333333333333329E-2</v>
      </c>
      <c r="F614" s="4">
        <v>1</v>
      </c>
    </row>
    <row r="615" spans="1:9" ht="13" x14ac:dyDescent="0.15">
      <c r="A615" s="29"/>
      <c r="B615" s="2" t="s">
        <v>71</v>
      </c>
      <c r="C615" s="31"/>
      <c r="D615" s="31"/>
      <c r="E615" s="31"/>
      <c r="F615" s="31">
        <f>SUM(F605:F614)</f>
        <v>3</v>
      </c>
      <c r="G615" s="31">
        <f>COUNT(F605:F614)</f>
        <v>10</v>
      </c>
      <c r="H615" s="31"/>
      <c r="I615" s="31"/>
    </row>
    <row r="616" spans="1:9" ht="13" x14ac:dyDescent="0.15">
      <c r="B616" s="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DE53-A231-4546-9C5E-2128457ECA85}">
  <dimension ref="A1:I581"/>
  <sheetViews>
    <sheetView tabSelected="1" workbookViewId="0">
      <selection activeCell="K14" sqref="K14"/>
    </sheetView>
  </sheetViews>
  <sheetFormatPr baseColWidth="10" defaultRowHeight="13" x14ac:dyDescent="0.15"/>
  <cols>
    <col min="4" max="4" width="10.83203125" style="82"/>
    <col min="5" max="5" width="11.1640625" style="85" bestFit="1" customWidth="1"/>
  </cols>
  <sheetData>
    <row r="1" spans="1:9" x14ac:dyDescent="0.15">
      <c r="A1" s="80" t="s">
        <v>81</v>
      </c>
      <c r="B1" s="80" t="s">
        <v>82</v>
      </c>
      <c r="C1" s="80" t="s">
        <v>83</v>
      </c>
      <c r="D1" s="83" t="s">
        <v>84</v>
      </c>
      <c r="E1" s="84" t="s">
        <v>85</v>
      </c>
      <c r="F1" s="80" t="s">
        <v>86</v>
      </c>
      <c r="G1" s="80" t="s">
        <v>87</v>
      </c>
      <c r="H1" s="80" t="s">
        <v>88</v>
      </c>
      <c r="I1" s="80" t="s">
        <v>89</v>
      </c>
    </row>
    <row r="2" spans="1:9" x14ac:dyDescent="0.15">
      <c r="A2" t="s">
        <v>40</v>
      </c>
      <c r="B2" t="s">
        <v>41</v>
      </c>
      <c r="C2">
        <v>0</v>
      </c>
      <c r="D2" s="82">
        <v>45874</v>
      </c>
      <c r="E2" s="85">
        <v>0</v>
      </c>
      <c r="F2">
        <v>0</v>
      </c>
      <c r="G2">
        <v>12</v>
      </c>
      <c r="H2" t="s">
        <v>42</v>
      </c>
      <c r="I2">
        <v>3</v>
      </c>
    </row>
    <row r="3" spans="1:9" x14ac:dyDescent="0.15">
      <c r="A3" t="s">
        <v>40</v>
      </c>
      <c r="B3" t="s">
        <v>41</v>
      </c>
      <c r="C3">
        <v>0</v>
      </c>
      <c r="D3" s="82">
        <v>45874</v>
      </c>
      <c r="E3" s="85">
        <v>1.3888888888888889E-3</v>
      </c>
      <c r="F3">
        <v>1</v>
      </c>
      <c r="G3">
        <v>12</v>
      </c>
      <c r="H3" t="s">
        <v>42</v>
      </c>
      <c r="I3">
        <v>3</v>
      </c>
    </row>
    <row r="4" spans="1:9" x14ac:dyDescent="0.15">
      <c r="A4" t="s">
        <v>40</v>
      </c>
      <c r="B4" t="s">
        <v>41</v>
      </c>
      <c r="C4">
        <v>0</v>
      </c>
      <c r="D4" s="82">
        <v>45874</v>
      </c>
      <c r="E4" s="85">
        <v>4.1666666666666664E-2</v>
      </c>
      <c r="F4">
        <v>1</v>
      </c>
      <c r="G4">
        <v>12</v>
      </c>
      <c r="H4" t="s">
        <v>42</v>
      </c>
      <c r="I4">
        <v>3</v>
      </c>
    </row>
    <row r="5" spans="1:9" x14ac:dyDescent="0.15">
      <c r="A5" t="s">
        <v>40</v>
      </c>
      <c r="B5" t="s">
        <v>41</v>
      </c>
      <c r="C5">
        <v>0</v>
      </c>
      <c r="D5" s="82">
        <v>45874</v>
      </c>
      <c r="E5" s="85">
        <v>4.3055555555555555E-2</v>
      </c>
      <c r="F5">
        <v>0</v>
      </c>
      <c r="G5">
        <v>12</v>
      </c>
      <c r="H5" t="s">
        <v>42</v>
      </c>
      <c r="I5">
        <v>3</v>
      </c>
    </row>
    <row r="6" spans="1:9" x14ac:dyDescent="0.15">
      <c r="A6" t="s">
        <v>40</v>
      </c>
      <c r="B6" t="s">
        <v>41</v>
      </c>
      <c r="C6">
        <v>0</v>
      </c>
      <c r="D6" s="82">
        <v>45874</v>
      </c>
      <c r="E6" s="85">
        <v>8.3333333333333329E-2</v>
      </c>
      <c r="F6">
        <v>1</v>
      </c>
      <c r="G6">
        <v>12</v>
      </c>
      <c r="H6" t="s">
        <v>42</v>
      </c>
      <c r="I6">
        <v>3</v>
      </c>
    </row>
    <row r="7" spans="1:9" x14ac:dyDescent="0.15">
      <c r="A7" t="s">
        <v>40</v>
      </c>
      <c r="B7" t="s">
        <v>41</v>
      </c>
      <c r="C7">
        <v>0</v>
      </c>
      <c r="D7" s="82">
        <v>45874</v>
      </c>
      <c r="E7" s="85">
        <v>0.125</v>
      </c>
      <c r="F7">
        <v>1</v>
      </c>
      <c r="G7">
        <v>12</v>
      </c>
      <c r="H7" t="s">
        <v>42</v>
      </c>
      <c r="I7">
        <v>3</v>
      </c>
    </row>
    <row r="8" spans="1:9" x14ac:dyDescent="0.15">
      <c r="A8" t="s">
        <v>40</v>
      </c>
      <c r="B8" t="s">
        <v>41</v>
      </c>
      <c r="C8">
        <v>0</v>
      </c>
      <c r="D8" s="82">
        <v>45874</v>
      </c>
      <c r="E8" s="85">
        <v>0.16666666666666666</v>
      </c>
      <c r="F8">
        <v>0</v>
      </c>
      <c r="G8">
        <v>12</v>
      </c>
      <c r="H8" t="s">
        <v>42</v>
      </c>
      <c r="I8">
        <v>3</v>
      </c>
    </row>
    <row r="9" spans="1:9" x14ac:dyDescent="0.15">
      <c r="A9" t="s">
        <v>40</v>
      </c>
      <c r="B9" t="s">
        <v>41</v>
      </c>
      <c r="C9">
        <v>0</v>
      </c>
      <c r="D9" s="82">
        <v>45874</v>
      </c>
      <c r="E9" s="85">
        <v>0.20833333333333334</v>
      </c>
      <c r="F9">
        <v>1</v>
      </c>
      <c r="G9">
        <v>12</v>
      </c>
      <c r="H9" t="s">
        <v>42</v>
      </c>
      <c r="I9">
        <v>3</v>
      </c>
    </row>
    <row r="10" spans="1:9" x14ac:dyDescent="0.15">
      <c r="A10" t="s">
        <v>40</v>
      </c>
      <c r="B10" t="s">
        <v>41</v>
      </c>
      <c r="C10">
        <v>0</v>
      </c>
      <c r="D10" s="82">
        <v>45874</v>
      </c>
      <c r="E10" s="85">
        <v>0.25</v>
      </c>
      <c r="F10">
        <v>0</v>
      </c>
      <c r="G10">
        <v>12</v>
      </c>
      <c r="H10" t="s">
        <v>42</v>
      </c>
      <c r="I10">
        <v>3</v>
      </c>
    </row>
    <row r="11" spans="1:9" x14ac:dyDescent="0.15">
      <c r="A11" t="s">
        <v>40</v>
      </c>
      <c r="B11" t="s">
        <v>41</v>
      </c>
      <c r="C11">
        <v>0</v>
      </c>
      <c r="D11" s="82">
        <v>45874</v>
      </c>
      <c r="E11" s="85">
        <v>0.29166666666666669</v>
      </c>
      <c r="F11">
        <v>0</v>
      </c>
      <c r="G11">
        <v>12</v>
      </c>
      <c r="H11" t="s">
        <v>42</v>
      </c>
      <c r="I11">
        <v>3</v>
      </c>
    </row>
    <row r="12" spans="1:9" x14ac:dyDescent="0.15">
      <c r="A12" t="s">
        <v>40</v>
      </c>
      <c r="B12" t="s">
        <v>41</v>
      </c>
      <c r="C12">
        <v>0</v>
      </c>
      <c r="D12" s="82">
        <v>45874</v>
      </c>
      <c r="E12" s="85">
        <v>0.33333333333333331</v>
      </c>
      <c r="F12">
        <v>0</v>
      </c>
      <c r="G12">
        <v>12</v>
      </c>
      <c r="H12" t="s">
        <v>42</v>
      </c>
      <c r="I12">
        <v>3</v>
      </c>
    </row>
    <row r="13" spans="1:9" x14ac:dyDescent="0.15">
      <c r="A13" t="s">
        <v>40</v>
      </c>
      <c r="B13" t="s">
        <v>41</v>
      </c>
      <c r="C13">
        <v>0</v>
      </c>
      <c r="D13" s="82">
        <v>45874</v>
      </c>
      <c r="E13" s="85">
        <v>0.375</v>
      </c>
      <c r="F13">
        <v>0</v>
      </c>
      <c r="G13">
        <v>12</v>
      </c>
      <c r="H13" t="s">
        <v>42</v>
      </c>
      <c r="I13">
        <v>3</v>
      </c>
    </row>
    <row r="14" spans="1:9" x14ac:dyDescent="0.15">
      <c r="A14" t="s">
        <v>40</v>
      </c>
      <c r="B14" t="s">
        <v>41</v>
      </c>
      <c r="C14">
        <v>0</v>
      </c>
      <c r="D14" s="82">
        <v>45874</v>
      </c>
      <c r="E14" s="85">
        <v>0.37708333333333333</v>
      </c>
      <c r="F14">
        <v>1</v>
      </c>
      <c r="G14">
        <v>12</v>
      </c>
      <c r="H14" t="s">
        <v>42</v>
      </c>
      <c r="I14">
        <v>3</v>
      </c>
    </row>
    <row r="15" spans="1:9" x14ac:dyDescent="0.15">
      <c r="A15" t="s">
        <v>40</v>
      </c>
      <c r="B15" t="s">
        <v>41</v>
      </c>
      <c r="C15">
        <v>0</v>
      </c>
      <c r="D15" s="82">
        <v>45874</v>
      </c>
      <c r="E15" s="85">
        <v>0.41666666666666669</v>
      </c>
      <c r="F15">
        <v>0</v>
      </c>
      <c r="G15">
        <v>12</v>
      </c>
      <c r="H15" t="s">
        <v>42</v>
      </c>
      <c r="I15">
        <v>3</v>
      </c>
    </row>
    <row r="16" spans="1:9" x14ac:dyDescent="0.15">
      <c r="A16" t="s">
        <v>40</v>
      </c>
      <c r="B16" t="s">
        <v>41</v>
      </c>
      <c r="C16">
        <v>0</v>
      </c>
      <c r="D16" s="82">
        <v>45874</v>
      </c>
      <c r="E16" s="85">
        <v>0.45833333333333331</v>
      </c>
      <c r="F16">
        <v>0</v>
      </c>
      <c r="G16">
        <v>12</v>
      </c>
      <c r="H16" t="s">
        <v>42</v>
      </c>
      <c r="I16">
        <v>3</v>
      </c>
    </row>
    <row r="17" spans="1:9" x14ac:dyDescent="0.15">
      <c r="A17" t="s">
        <v>40</v>
      </c>
      <c r="B17" t="s">
        <v>41</v>
      </c>
      <c r="C17">
        <v>0</v>
      </c>
      <c r="D17" s="82">
        <v>45874</v>
      </c>
      <c r="E17" s="85">
        <v>0.5</v>
      </c>
      <c r="F17">
        <v>0</v>
      </c>
      <c r="G17">
        <v>12</v>
      </c>
      <c r="H17" t="s">
        <v>42</v>
      </c>
      <c r="I17">
        <v>3</v>
      </c>
    </row>
    <row r="18" spans="1:9" x14ac:dyDescent="0.15">
      <c r="A18" t="s">
        <v>40</v>
      </c>
      <c r="B18" t="s">
        <v>41</v>
      </c>
      <c r="C18">
        <v>0</v>
      </c>
      <c r="D18" s="82">
        <v>45874</v>
      </c>
      <c r="E18" s="85">
        <v>0.54166666666666663</v>
      </c>
      <c r="F18">
        <v>0</v>
      </c>
      <c r="G18">
        <v>12</v>
      </c>
      <c r="H18" t="s">
        <v>42</v>
      </c>
      <c r="I18">
        <v>3</v>
      </c>
    </row>
    <row r="19" spans="1:9" x14ac:dyDescent="0.15">
      <c r="A19" t="s">
        <v>40</v>
      </c>
      <c r="B19" t="s">
        <v>41</v>
      </c>
      <c r="C19">
        <v>0</v>
      </c>
      <c r="D19" s="82">
        <v>45874</v>
      </c>
      <c r="E19" s="85">
        <v>0.58333333333333337</v>
      </c>
      <c r="F19">
        <v>0</v>
      </c>
      <c r="G19">
        <v>12</v>
      </c>
      <c r="H19" t="s">
        <v>42</v>
      </c>
      <c r="I19">
        <v>3</v>
      </c>
    </row>
    <row r="20" spans="1:9" x14ac:dyDescent="0.15">
      <c r="A20" t="s">
        <v>40</v>
      </c>
      <c r="B20" t="s">
        <v>41</v>
      </c>
      <c r="C20">
        <v>0</v>
      </c>
      <c r="D20" s="82">
        <v>45874</v>
      </c>
      <c r="E20" s="85">
        <v>0.625</v>
      </c>
      <c r="F20">
        <v>0</v>
      </c>
      <c r="G20">
        <v>12</v>
      </c>
      <c r="H20" t="s">
        <v>42</v>
      </c>
      <c r="I20">
        <v>3</v>
      </c>
    </row>
    <row r="21" spans="1:9" x14ac:dyDescent="0.15">
      <c r="A21" t="s">
        <v>40</v>
      </c>
      <c r="B21" t="s">
        <v>41</v>
      </c>
      <c r="C21">
        <v>0</v>
      </c>
      <c r="D21" s="82">
        <v>45874</v>
      </c>
      <c r="E21" s="85">
        <v>0.66666666666666663</v>
      </c>
      <c r="F21">
        <v>0</v>
      </c>
      <c r="G21">
        <v>12</v>
      </c>
      <c r="H21" t="s">
        <v>42</v>
      </c>
      <c r="I21">
        <v>3</v>
      </c>
    </row>
    <row r="22" spans="1:9" x14ac:dyDescent="0.15">
      <c r="A22" t="s">
        <v>40</v>
      </c>
      <c r="B22" t="s">
        <v>41</v>
      </c>
      <c r="C22">
        <v>0</v>
      </c>
      <c r="D22" s="82">
        <v>45874</v>
      </c>
      <c r="E22" s="85">
        <v>0.70833333333333337</v>
      </c>
      <c r="F22">
        <v>0</v>
      </c>
      <c r="G22">
        <v>12</v>
      </c>
      <c r="H22" t="s">
        <v>42</v>
      </c>
      <c r="I22">
        <v>3</v>
      </c>
    </row>
    <row r="23" spans="1:9" x14ac:dyDescent="0.15">
      <c r="A23" t="s">
        <v>40</v>
      </c>
      <c r="B23" t="s">
        <v>41</v>
      </c>
      <c r="C23">
        <v>0</v>
      </c>
      <c r="D23" s="82">
        <v>45874</v>
      </c>
      <c r="E23" s="85">
        <v>0.75</v>
      </c>
      <c r="F23">
        <v>0</v>
      </c>
      <c r="G23">
        <v>12</v>
      </c>
      <c r="H23" t="s">
        <v>42</v>
      </c>
      <c r="I23">
        <v>3</v>
      </c>
    </row>
    <row r="24" spans="1:9" x14ac:dyDescent="0.15">
      <c r="A24" t="s">
        <v>40</v>
      </c>
      <c r="B24" t="s">
        <v>41</v>
      </c>
      <c r="C24">
        <v>0</v>
      </c>
      <c r="D24" s="82">
        <v>45874</v>
      </c>
      <c r="E24" s="85">
        <v>0.79166666666666663</v>
      </c>
      <c r="F24">
        <v>0</v>
      </c>
      <c r="G24">
        <v>12</v>
      </c>
      <c r="H24" t="s">
        <v>42</v>
      </c>
      <c r="I24">
        <v>3</v>
      </c>
    </row>
    <row r="25" spans="1:9" x14ac:dyDescent="0.15">
      <c r="A25" t="s">
        <v>40</v>
      </c>
      <c r="B25" t="s">
        <v>41</v>
      </c>
      <c r="C25">
        <v>0</v>
      </c>
      <c r="D25" s="82">
        <v>45874</v>
      </c>
      <c r="E25" s="85">
        <v>0.83333333333333337</v>
      </c>
      <c r="F25">
        <v>0</v>
      </c>
      <c r="G25">
        <v>12</v>
      </c>
      <c r="H25" t="s">
        <v>42</v>
      </c>
      <c r="I25">
        <v>3</v>
      </c>
    </row>
    <row r="26" spans="1:9" x14ac:dyDescent="0.15">
      <c r="A26" t="s">
        <v>40</v>
      </c>
      <c r="B26" t="s">
        <v>41</v>
      </c>
      <c r="C26">
        <v>0</v>
      </c>
      <c r="D26" s="82">
        <v>45874</v>
      </c>
      <c r="E26" s="85">
        <v>0.875</v>
      </c>
      <c r="F26">
        <v>0</v>
      </c>
      <c r="G26">
        <v>12</v>
      </c>
      <c r="H26" t="s">
        <v>42</v>
      </c>
      <c r="I26">
        <v>3</v>
      </c>
    </row>
    <row r="27" spans="1:9" x14ac:dyDescent="0.15">
      <c r="A27" t="s">
        <v>40</v>
      </c>
      <c r="B27" t="s">
        <v>41</v>
      </c>
      <c r="C27">
        <v>0</v>
      </c>
      <c r="D27" s="82">
        <v>45874</v>
      </c>
      <c r="E27" s="85">
        <v>0.91666666666666663</v>
      </c>
      <c r="F27">
        <v>0</v>
      </c>
      <c r="G27">
        <v>12</v>
      </c>
      <c r="H27" t="s">
        <v>42</v>
      </c>
      <c r="I27">
        <v>3</v>
      </c>
    </row>
    <row r="28" spans="1:9" x14ac:dyDescent="0.15">
      <c r="A28" t="s">
        <v>40</v>
      </c>
      <c r="B28" t="s">
        <v>41</v>
      </c>
      <c r="C28">
        <v>0</v>
      </c>
      <c r="D28" s="82">
        <v>45874</v>
      </c>
      <c r="E28" s="85">
        <v>0.95833333333333337</v>
      </c>
      <c r="F28">
        <v>1</v>
      </c>
      <c r="G28">
        <v>12</v>
      </c>
      <c r="H28" t="s">
        <v>42</v>
      </c>
      <c r="I28">
        <v>3</v>
      </c>
    </row>
    <row r="29" spans="1:9" x14ac:dyDescent="0.15">
      <c r="A29" t="s">
        <v>40</v>
      </c>
      <c r="B29" t="s">
        <v>41</v>
      </c>
      <c r="C29">
        <v>0</v>
      </c>
      <c r="D29" s="82">
        <v>45875</v>
      </c>
      <c r="E29" s="85">
        <v>0</v>
      </c>
      <c r="F29">
        <v>1</v>
      </c>
      <c r="G29">
        <v>27</v>
      </c>
      <c r="H29" t="s">
        <v>42</v>
      </c>
      <c r="I29">
        <v>2</v>
      </c>
    </row>
    <row r="30" spans="1:9" x14ac:dyDescent="0.15">
      <c r="A30" t="s">
        <v>40</v>
      </c>
      <c r="B30" t="s">
        <v>41</v>
      </c>
      <c r="C30">
        <v>0</v>
      </c>
      <c r="D30" s="82">
        <v>45875</v>
      </c>
      <c r="E30" s="85">
        <v>4.1666666666666664E-2</v>
      </c>
      <c r="F30">
        <v>1</v>
      </c>
      <c r="G30">
        <v>27</v>
      </c>
      <c r="H30" t="s">
        <v>42</v>
      </c>
      <c r="I30">
        <v>2</v>
      </c>
    </row>
    <row r="31" spans="1:9" x14ac:dyDescent="0.15">
      <c r="A31" t="s">
        <v>40</v>
      </c>
      <c r="B31" t="s">
        <v>41</v>
      </c>
      <c r="C31">
        <v>0</v>
      </c>
      <c r="D31" s="82">
        <v>45875</v>
      </c>
      <c r="E31" s="85">
        <v>8.3333333333333329E-2</v>
      </c>
      <c r="F31">
        <v>1</v>
      </c>
      <c r="G31">
        <v>27</v>
      </c>
      <c r="H31" t="s">
        <v>42</v>
      </c>
      <c r="I31">
        <v>2</v>
      </c>
    </row>
    <row r="32" spans="1:9" x14ac:dyDescent="0.15">
      <c r="A32" t="s">
        <v>40</v>
      </c>
      <c r="B32" t="s">
        <v>41</v>
      </c>
      <c r="C32">
        <v>0</v>
      </c>
      <c r="D32" s="82">
        <v>45875</v>
      </c>
      <c r="E32" s="85">
        <v>0.12638888888888888</v>
      </c>
      <c r="F32">
        <v>0</v>
      </c>
      <c r="G32">
        <v>27</v>
      </c>
      <c r="H32" t="s">
        <v>42</v>
      </c>
      <c r="I32">
        <v>2</v>
      </c>
    </row>
    <row r="33" spans="1:9" x14ac:dyDescent="0.15">
      <c r="A33" t="s">
        <v>40</v>
      </c>
      <c r="B33" t="s">
        <v>41</v>
      </c>
      <c r="C33">
        <v>0</v>
      </c>
      <c r="D33" s="82">
        <v>45875</v>
      </c>
      <c r="E33" s="85">
        <v>0.12708333333333333</v>
      </c>
      <c r="F33">
        <v>0</v>
      </c>
      <c r="G33">
        <v>27</v>
      </c>
      <c r="H33" t="s">
        <v>42</v>
      </c>
      <c r="I33">
        <v>3</v>
      </c>
    </row>
    <row r="34" spans="1:9" x14ac:dyDescent="0.15">
      <c r="A34" t="s">
        <v>40</v>
      </c>
      <c r="B34" t="s">
        <v>41</v>
      </c>
      <c r="C34">
        <v>0</v>
      </c>
      <c r="D34" s="82">
        <v>45875</v>
      </c>
      <c r="E34" s="85">
        <v>0.16666666666666666</v>
      </c>
      <c r="F34">
        <v>0</v>
      </c>
      <c r="G34">
        <v>27</v>
      </c>
      <c r="H34" t="s">
        <v>42</v>
      </c>
      <c r="I34">
        <v>3</v>
      </c>
    </row>
    <row r="35" spans="1:9" x14ac:dyDescent="0.15">
      <c r="A35" t="s">
        <v>40</v>
      </c>
      <c r="B35" t="s">
        <v>41</v>
      </c>
      <c r="C35">
        <v>0</v>
      </c>
      <c r="D35" s="82">
        <v>45875</v>
      </c>
      <c r="E35" s="85">
        <v>0.20833333333333334</v>
      </c>
      <c r="F35">
        <v>1</v>
      </c>
      <c r="G35">
        <v>27</v>
      </c>
      <c r="H35" t="s">
        <v>42</v>
      </c>
      <c r="I35">
        <v>3</v>
      </c>
    </row>
    <row r="36" spans="1:9" x14ac:dyDescent="0.15">
      <c r="A36" t="s">
        <v>40</v>
      </c>
      <c r="B36" t="s">
        <v>41</v>
      </c>
      <c r="C36">
        <v>0</v>
      </c>
      <c r="D36" s="82">
        <v>45875</v>
      </c>
      <c r="E36" s="85">
        <v>0.25208333333333333</v>
      </c>
      <c r="F36">
        <v>1</v>
      </c>
      <c r="G36">
        <v>27</v>
      </c>
      <c r="H36" t="s">
        <v>42</v>
      </c>
      <c r="I36">
        <v>3</v>
      </c>
    </row>
    <row r="37" spans="1:9" x14ac:dyDescent="0.15">
      <c r="A37" t="s">
        <v>40</v>
      </c>
      <c r="B37" t="s">
        <v>41</v>
      </c>
      <c r="C37">
        <v>0</v>
      </c>
      <c r="D37" s="82">
        <v>45875</v>
      </c>
      <c r="E37" s="85">
        <v>0.29166666666666669</v>
      </c>
      <c r="F37">
        <v>0</v>
      </c>
      <c r="G37">
        <v>27</v>
      </c>
      <c r="H37" t="s">
        <v>42</v>
      </c>
      <c r="I37">
        <v>3</v>
      </c>
    </row>
    <row r="38" spans="1:9" x14ac:dyDescent="0.15">
      <c r="A38" t="s">
        <v>40</v>
      </c>
      <c r="B38" t="s">
        <v>41</v>
      </c>
      <c r="C38">
        <v>0</v>
      </c>
      <c r="D38" s="82">
        <v>45875</v>
      </c>
      <c r="E38" s="85">
        <v>0.33333333333333331</v>
      </c>
      <c r="F38">
        <v>0</v>
      </c>
      <c r="G38">
        <v>27</v>
      </c>
      <c r="H38" t="s">
        <v>42</v>
      </c>
      <c r="I38">
        <v>3</v>
      </c>
    </row>
    <row r="39" spans="1:9" x14ac:dyDescent="0.15">
      <c r="A39" t="s">
        <v>40</v>
      </c>
      <c r="B39" t="s">
        <v>41</v>
      </c>
      <c r="C39">
        <v>0</v>
      </c>
      <c r="D39" s="82">
        <v>45875</v>
      </c>
      <c r="E39" s="85">
        <v>0.375</v>
      </c>
      <c r="F39">
        <v>0</v>
      </c>
      <c r="G39">
        <v>27</v>
      </c>
      <c r="H39" t="s">
        <v>42</v>
      </c>
      <c r="I39">
        <v>3</v>
      </c>
    </row>
    <row r="40" spans="1:9" x14ac:dyDescent="0.15">
      <c r="A40" t="s">
        <v>40</v>
      </c>
      <c r="B40" t="s">
        <v>41</v>
      </c>
      <c r="C40">
        <v>0</v>
      </c>
      <c r="D40" s="82">
        <v>45875</v>
      </c>
      <c r="E40" s="85">
        <v>0.41666666666666669</v>
      </c>
      <c r="F40">
        <v>0</v>
      </c>
      <c r="G40">
        <v>27</v>
      </c>
      <c r="H40" t="s">
        <v>42</v>
      </c>
      <c r="I40">
        <v>3</v>
      </c>
    </row>
    <row r="41" spans="1:9" x14ac:dyDescent="0.15">
      <c r="A41" t="s">
        <v>40</v>
      </c>
      <c r="B41" t="s">
        <v>41</v>
      </c>
      <c r="C41">
        <v>0</v>
      </c>
      <c r="D41" s="82">
        <v>45875</v>
      </c>
      <c r="E41" s="85">
        <v>0.45833333333333331</v>
      </c>
      <c r="F41">
        <v>0</v>
      </c>
      <c r="G41">
        <v>27</v>
      </c>
      <c r="H41" t="s">
        <v>42</v>
      </c>
      <c r="I41">
        <v>3</v>
      </c>
    </row>
    <row r="42" spans="1:9" x14ac:dyDescent="0.15">
      <c r="A42" t="s">
        <v>40</v>
      </c>
      <c r="B42" t="s">
        <v>41</v>
      </c>
      <c r="C42">
        <v>0</v>
      </c>
      <c r="D42" s="82">
        <v>45875</v>
      </c>
      <c r="E42" s="85">
        <v>0.5</v>
      </c>
      <c r="F42">
        <v>0</v>
      </c>
      <c r="G42">
        <v>27</v>
      </c>
      <c r="H42" t="s">
        <v>42</v>
      </c>
      <c r="I42">
        <v>3</v>
      </c>
    </row>
    <row r="43" spans="1:9" x14ac:dyDescent="0.15">
      <c r="A43" t="s">
        <v>40</v>
      </c>
      <c r="B43" t="s">
        <v>41</v>
      </c>
      <c r="C43">
        <v>0</v>
      </c>
      <c r="D43" s="82">
        <v>45875</v>
      </c>
      <c r="E43" s="85">
        <v>0.54166666666666663</v>
      </c>
      <c r="F43">
        <v>0</v>
      </c>
      <c r="G43">
        <v>27</v>
      </c>
      <c r="H43" t="s">
        <v>42</v>
      </c>
      <c r="I43">
        <v>3</v>
      </c>
    </row>
    <row r="44" spans="1:9" x14ac:dyDescent="0.15">
      <c r="A44" t="s">
        <v>40</v>
      </c>
      <c r="B44" t="s">
        <v>41</v>
      </c>
      <c r="C44">
        <v>0</v>
      </c>
      <c r="D44" s="82">
        <v>45875</v>
      </c>
      <c r="E44" s="85">
        <v>0.58333333333333337</v>
      </c>
      <c r="F44">
        <v>0</v>
      </c>
      <c r="G44">
        <v>27</v>
      </c>
      <c r="H44" t="s">
        <v>42</v>
      </c>
      <c r="I44">
        <v>3</v>
      </c>
    </row>
    <row r="45" spans="1:9" x14ac:dyDescent="0.15">
      <c r="A45" t="s">
        <v>40</v>
      </c>
      <c r="B45" t="s">
        <v>41</v>
      </c>
      <c r="C45">
        <v>0</v>
      </c>
      <c r="D45" s="82">
        <v>45875</v>
      </c>
      <c r="E45" s="85">
        <v>0.625</v>
      </c>
      <c r="F45">
        <v>0</v>
      </c>
      <c r="G45">
        <v>27</v>
      </c>
      <c r="H45" t="s">
        <v>42</v>
      </c>
      <c r="I45">
        <v>3</v>
      </c>
    </row>
    <row r="46" spans="1:9" x14ac:dyDescent="0.15">
      <c r="A46" t="s">
        <v>40</v>
      </c>
      <c r="B46" t="s">
        <v>41</v>
      </c>
      <c r="C46">
        <v>0</v>
      </c>
      <c r="D46" s="82">
        <v>45875</v>
      </c>
      <c r="E46" s="85">
        <v>0.66666666666666663</v>
      </c>
      <c r="F46">
        <v>0</v>
      </c>
      <c r="G46">
        <v>27</v>
      </c>
      <c r="H46" t="s">
        <v>42</v>
      </c>
      <c r="I46">
        <v>3</v>
      </c>
    </row>
    <row r="47" spans="1:9" x14ac:dyDescent="0.15">
      <c r="A47" t="s">
        <v>40</v>
      </c>
      <c r="B47" t="s">
        <v>41</v>
      </c>
      <c r="C47">
        <v>0</v>
      </c>
      <c r="D47" s="82">
        <v>45875</v>
      </c>
      <c r="E47" s="85">
        <v>0.70833333333333337</v>
      </c>
      <c r="F47">
        <v>0</v>
      </c>
      <c r="G47">
        <v>27</v>
      </c>
      <c r="H47" t="s">
        <v>42</v>
      </c>
      <c r="I47">
        <v>3</v>
      </c>
    </row>
    <row r="48" spans="1:9" x14ac:dyDescent="0.15">
      <c r="A48" t="s">
        <v>40</v>
      </c>
      <c r="B48" t="s">
        <v>41</v>
      </c>
      <c r="C48">
        <v>0</v>
      </c>
      <c r="D48" s="82">
        <v>45875</v>
      </c>
      <c r="E48" s="85">
        <v>0.75</v>
      </c>
      <c r="F48">
        <v>0</v>
      </c>
      <c r="G48">
        <v>27</v>
      </c>
      <c r="H48" t="s">
        <v>42</v>
      </c>
      <c r="I48">
        <v>3</v>
      </c>
    </row>
    <row r="49" spans="1:9" x14ac:dyDescent="0.15">
      <c r="A49" t="s">
        <v>40</v>
      </c>
      <c r="B49" t="s">
        <v>41</v>
      </c>
      <c r="C49">
        <v>0</v>
      </c>
      <c r="D49" s="82">
        <v>45875</v>
      </c>
      <c r="E49" s="85">
        <v>0.79166666666666663</v>
      </c>
      <c r="F49">
        <v>0</v>
      </c>
      <c r="G49">
        <v>27</v>
      </c>
      <c r="H49" t="s">
        <v>42</v>
      </c>
      <c r="I49">
        <v>3</v>
      </c>
    </row>
    <row r="50" spans="1:9" x14ac:dyDescent="0.15">
      <c r="A50" t="s">
        <v>40</v>
      </c>
      <c r="B50" t="s">
        <v>41</v>
      </c>
      <c r="C50">
        <v>0</v>
      </c>
      <c r="D50" s="82">
        <v>45875</v>
      </c>
      <c r="E50" s="85">
        <v>0.83333333333333337</v>
      </c>
      <c r="F50">
        <v>0</v>
      </c>
      <c r="G50">
        <v>27</v>
      </c>
      <c r="H50" t="s">
        <v>42</v>
      </c>
      <c r="I50">
        <v>3</v>
      </c>
    </row>
    <row r="51" spans="1:9" x14ac:dyDescent="0.15">
      <c r="A51" t="s">
        <v>40</v>
      </c>
      <c r="B51" t="s">
        <v>41</v>
      </c>
      <c r="C51">
        <v>0</v>
      </c>
      <c r="D51" s="82">
        <v>45875</v>
      </c>
      <c r="E51" s="85">
        <v>0.875</v>
      </c>
      <c r="F51">
        <v>0</v>
      </c>
      <c r="G51">
        <v>27</v>
      </c>
      <c r="H51" t="s">
        <v>42</v>
      </c>
      <c r="I51">
        <v>3</v>
      </c>
    </row>
    <row r="52" spans="1:9" x14ac:dyDescent="0.15">
      <c r="A52" t="s">
        <v>40</v>
      </c>
      <c r="B52" t="s">
        <v>41</v>
      </c>
      <c r="C52">
        <v>0</v>
      </c>
      <c r="D52" s="82">
        <v>45875</v>
      </c>
      <c r="E52" s="85">
        <v>0.91666666666666663</v>
      </c>
      <c r="F52">
        <v>0</v>
      </c>
      <c r="G52">
        <v>27</v>
      </c>
      <c r="H52" t="s">
        <v>42</v>
      </c>
      <c r="I52">
        <v>3</v>
      </c>
    </row>
    <row r="53" spans="1:9" x14ac:dyDescent="0.15">
      <c r="A53" t="s">
        <v>40</v>
      </c>
      <c r="B53" t="s">
        <v>41</v>
      </c>
      <c r="C53">
        <v>0</v>
      </c>
      <c r="D53" s="82">
        <v>45875</v>
      </c>
      <c r="E53" s="85">
        <v>0.95833333333333337</v>
      </c>
      <c r="F53">
        <v>0</v>
      </c>
      <c r="G53">
        <v>27</v>
      </c>
      <c r="H53" t="s">
        <v>42</v>
      </c>
      <c r="I53">
        <v>3</v>
      </c>
    </row>
    <row r="54" spans="1:9" x14ac:dyDescent="0.15">
      <c r="A54" t="s">
        <v>40</v>
      </c>
      <c r="B54" t="s">
        <v>41</v>
      </c>
      <c r="C54">
        <v>0</v>
      </c>
      <c r="D54" s="82">
        <v>45876</v>
      </c>
      <c r="E54" s="85">
        <v>0</v>
      </c>
      <c r="F54">
        <v>0</v>
      </c>
      <c r="G54">
        <v>25</v>
      </c>
      <c r="H54" t="s">
        <v>42</v>
      </c>
      <c r="I54">
        <v>3</v>
      </c>
    </row>
    <row r="55" spans="1:9" x14ac:dyDescent="0.15">
      <c r="A55" t="s">
        <v>40</v>
      </c>
      <c r="B55" t="s">
        <v>41</v>
      </c>
      <c r="C55">
        <v>0</v>
      </c>
      <c r="D55" s="82">
        <v>45876</v>
      </c>
      <c r="E55" s="85">
        <v>4.1666666666666664E-2</v>
      </c>
      <c r="F55">
        <v>0</v>
      </c>
      <c r="G55">
        <v>25</v>
      </c>
      <c r="H55" t="s">
        <v>42</v>
      </c>
      <c r="I55">
        <v>3</v>
      </c>
    </row>
    <row r="56" spans="1:9" x14ac:dyDescent="0.15">
      <c r="A56" t="s">
        <v>40</v>
      </c>
      <c r="B56" t="s">
        <v>41</v>
      </c>
      <c r="C56">
        <v>0</v>
      </c>
      <c r="D56" s="82">
        <v>45876</v>
      </c>
      <c r="E56" s="85">
        <v>8.3333333333333329E-2</v>
      </c>
      <c r="F56">
        <v>1</v>
      </c>
      <c r="G56">
        <v>25</v>
      </c>
      <c r="H56" t="s">
        <v>42</v>
      </c>
      <c r="I56">
        <v>3</v>
      </c>
    </row>
    <row r="57" spans="1:9" x14ac:dyDescent="0.15">
      <c r="A57" t="s">
        <v>40</v>
      </c>
      <c r="B57" t="s">
        <v>41</v>
      </c>
      <c r="C57">
        <v>0</v>
      </c>
      <c r="D57" s="82">
        <v>45876</v>
      </c>
      <c r="E57" s="85">
        <v>0.12638888888888888</v>
      </c>
      <c r="F57">
        <v>0</v>
      </c>
      <c r="G57">
        <v>25</v>
      </c>
      <c r="H57" t="s">
        <v>42</v>
      </c>
      <c r="I57">
        <v>3</v>
      </c>
    </row>
    <row r="58" spans="1:9" x14ac:dyDescent="0.15">
      <c r="A58" t="s">
        <v>40</v>
      </c>
      <c r="B58" t="s">
        <v>41</v>
      </c>
      <c r="C58">
        <v>0</v>
      </c>
      <c r="D58" s="82">
        <v>45876</v>
      </c>
      <c r="E58" s="85">
        <v>0.12708333333333333</v>
      </c>
      <c r="F58">
        <v>1</v>
      </c>
      <c r="G58">
        <v>25</v>
      </c>
      <c r="H58" t="s">
        <v>42</v>
      </c>
      <c r="I58">
        <v>3</v>
      </c>
    </row>
    <row r="59" spans="1:9" x14ac:dyDescent="0.15">
      <c r="A59" t="s">
        <v>40</v>
      </c>
      <c r="B59" t="s">
        <v>41</v>
      </c>
      <c r="C59">
        <v>0</v>
      </c>
      <c r="D59" s="82">
        <v>45876</v>
      </c>
      <c r="E59" s="85">
        <v>0.16666666666666666</v>
      </c>
      <c r="F59">
        <v>1</v>
      </c>
      <c r="G59">
        <v>25</v>
      </c>
      <c r="H59" t="s">
        <v>42</v>
      </c>
      <c r="I59">
        <v>3</v>
      </c>
    </row>
    <row r="60" spans="1:9" x14ac:dyDescent="0.15">
      <c r="A60" t="s">
        <v>40</v>
      </c>
      <c r="B60" t="s">
        <v>41</v>
      </c>
      <c r="C60">
        <v>0</v>
      </c>
      <c r="D60" s="82">
        <v>45876</v>
      </c>
      <c r="E60" s="85">
        <v>0.20833333333333334</v>
      </c>
      <c r="F60">
        <v>0</v>
      </c>
      <c r="G60">
        <v>25</v>
      </c>
      <c r="H60" t="s">
        <v>42</v>
      </c>
      <c r="I60">
        <v>3</v>
      </c>
    </row>
    <row r="61" spans="1:9" x14ac:dyDescent="0.15">
      <c r="A61" t="s">
        <v>40</v>
      </c>
      <c r="B61" t="s">
        <v>41</v>
      </c>
      <c r="C61">
        <v>0</v>
      </c>
      <c r="D61" s="82">
        <v>45876</v>
      </c>
      <c r="E61" s="85">
        <v>0.25208333333333333</v>
      </c>
      <c r="F61">
        <v>1</v>
      </c>
      <c r="G61">
        <v>25</v>
      </c>
      <c r="H61" t="s">
        <v>42</v>
      </c>
      <c r="I61">
        <v>3</v>
      </c>
    </row>
    <row r="62" spans="1:9" x14ac:dyDescent="0.15">
      <c r="A62" t="s">
        <v>40</v>
      </c>
      <c r="B62" t="s">
        <v>41</v>
      </c>
      <c r="C62">
        <v>0</v>
      </c>
      <c r="D62" s="82">
        <v>45876</v>
      </c>
      <c r="E62" s="85">
        <v>0.29166666666666669</v>
      </c>
      <c r="F62">
        <v>0</v>
      </c>
      <c r="G62">
        <v>25</v>
      </c>
      <c r="H62" t="s">
        <v>42</v>
      </c>
      <c r="I62">
        <v>3</v>
      </c>
    </row>
    <row r="63" spans="1:9" x14ac:dyDescent="0.15">
      <c r="A63" t="s">
        <v>40</v>
      </c>
      <c r="B63" t="s">
        <v>41</v>
      </c>
      <c r="C63">
        <v>0</v>
      </c>
      <c r="D63" s="82">
        <v>45876</v>
      </c>
      <c r="E63" s="85">
        <v>0.33333333333333331</v>
      </c>
      <c r="F63">
        <v>0</v>
      </c>
      <c r="G63">
        <v>25</v>
      </c>
      <c r="H63" t="s">
        <v>42</v>
      </c>
      <c r="I63">
        <v>3</v>
      </c>
    </row>
    <row r="64" spans="1:9" x14ac:dyDescent="0.15">
      <c r="A64" t="s">
        <v>40</v>
      </c>
      <c r="B64" t="s">
        <v>41</v>
      </c>
      <c r="C64">
        <v>0</v>
      </c>
      <c r="D64" s="82">
        <v>45876</v>
      </c>
      <c r="E64" s="85">
        <v>0.375</v>
      </c>
      <c r="F64">
        <v>0</v>
      </c>
      <c r="G64">
        <v>25</v>
      </c>
      <c r="H64" t="s">
        <v>42</v>
      </c>
      <c r="I64">
        <v>3</v>
      </c>
    </row>
    <row r="65" spans="1:9" x14ac:dyDescent="0.15">
      <c r="A65" t="s">
        <v>40</v>
      </c>
      <c r="B65" t="s">
        <v>41</v>
      </c>
      <c r="C65">
        <v>0</v>
      </c>
      <c r="D65" s="82">
        <v>45876</v>
      </c>
      <c r="E65" s="85">
        <v>0.41666666666666669</v>
      </c>
      <c r="F65">
        <v>0</v>
      </c>
      <c r="G65">
        <v>25</v>
      </c>
      <c r="H65" t="s">
        <v>42</v>
      </c>
      <c r="I65">
        <v>3</v>
      </c>
    </row>
    <row r="66" spans="1:9" x14ac:dyDescent="0.15">
      <c r="A66" t="s">
        <v>40</v>
      </c>
      <c r="B66" t="s">
        <v>41</v>
      </c>
      <c r="C66">
        <v>0</v>
      </c>
      <c r="D66" s="82">
        <v>45876</v>
      </c>
      <c r="E66" s="85">
        <v>0.45833333333333331</v>
      </c>
      <c r="F66">
        <v>0</v>
      </c>
      <c r="G66">
        <v>25</v>
      </c>
      <c r="H66" t="s">
        <v>42</v>
      </c>
      <c r="I66">
        <v>3</v>
      </c>
    </row>
    <row r="67" spans="1:9" x14ac:dyDescent="0.15">
      <c r="A67" t="s">
        <v>40</v>
      </c>
      <c r="B67" t="s">
        <v>41</v>
      </c>
      <c r="C67">
        <v>0</v>
      </c>
      <c r="D67" s="82">
        <v>45876</v>
      </c>
      <c r="E67" s="85">
        <v>0.5</v>
      </c>
      <c r="F67">
        <v>0</v>
      </c>
      <c r="G67">
        <v>25</v>
      </c>
      <c r="H67" t="s">
        <v>42</v>
      </c>
      <c r="I67">
        <v>3</v>
      </c>
    </row>
    <row r="68" spans="1:9" x14ac:dyDescent="0.15">
      <c r="A68" t="s">
        <v>40</v>
      </c>
      <c r="B68" t="s">
        <v>41</v>
      </c>
      <c r="C68">
        <v>0</v>
      </c>
      <c r="D68" s="82">
        <v>45876</v>
      </c>
      <c r="E68" s="85">
        <v>0.54166666666666663</v>
      </c>
      <c r="F68">
        <v>0</v>
      </c>
      <c r="G68">
        <v>25</v>
      </c>
      <c r="H68" t="s">
        <v>42</v>
      </c>
      <c r="I68">
        <v>3</v>
      </c>
    </row>
    <row r="69" spans="1:9" x14ac:dyDescent="0.15">
      <c r="A69" t="s">
        <v>40</v>
      </c>
      <c r="B69" t="s">
        <v>41</v>
      </c>
      <c r="C69">
        <v>0</v>
      </c>
      <c r="D69" s="82">
        <v>45876</v>
      </c>
      <c r="E69" s="85">
        <v>0.58333333333333337</v>
      </c>
      <c r="F69">
        <v>0</v>
      </c>
      <c r="G69">
        <v>25</v>
      </c>
      <c r="H69" t="s">
        <v>42</v>
      </c>
      <c r="I69">
        <v>3</v>
      </c>
    </row>
    <row r="70" spans="1:9" x14ac:dyDescent="0.15">
      <c r="A70" t="s">
        <v>40</v>
      </c>
      <c r="B70" t="s">
        <v>41</v>
      </c>
      <c r="C70">
        <v>0</v>
      </c>
      <c r="D70" s="82">
        <v>45876</v>
      </c>
      <c r="E70" s="85">
        <v>0.625</v>
      </c>
      <c r="F70">
        <v>0</v>
      </c>
      <c r="G70">
        <v>25</v>
      </c>
      <c r="H70" t="s">
        <v>42</v>
      </c>
      <c r="I70">
        <v>3</v>
      </c>
    </row>
    <row r="71" spans="1:9" x14ac:dyDescent="0.15">
      <c r="A71" t="s">
        <v>40</v>
      </c>
      <c r="B71" t="s">
        <v>41</v>
      </c>
      <c r="C71">
        <v>0</v>
      </c>
      <c r="D71" s="82">
        <v>45876</v>
      </c>
      <c r="E71" s="85">
        <v>0.66666666666666663</v>
      </c>
      <c r="F71">
        <v>0</v>
      </c>
      <c r="G71">
        <v>25</v>
      </c>
      <c r="H71" t="s">
        <v>42</v>
      </c>
      <c r="I71">
        <v>3</v>
      </c>
    </row>
    <row r="72" spans="1:9" x14ac:dyDescent="0.15">
      <c r="A72" t="s">
        <v>40</v>
      </c>
      <c r="B72" t="s">
        <v>41</v>
      </c>
      <c r="C72">
        <v>0</v>
      </c>
      <c r="D72" s="82">
        <v>45876</v>
      </c>
      <c r="E72" s="85">
        <v>0.70833333333333337</v>
      </c>
      <c r="F72">
        <v>0</v>
      </c>
      <c r="G72">
        <v>25</v>
      </c>
      <c r="H72" t="s">
        <v>42</v>
      </c>
      <c r="I72">
        <v>3</v>
      </c>
    </row>
    <row r="73" spans="1:9" x14ac:dyDescent="0.15">
      <c r="A73" t="s">
        <v>40</v>
      </c>
      <c r="B73" t="s">
        <v>41</v>
      </c>
      <c r="C73">
        <v>0</v>
      </c>
      <c r="D73" s="82">
        <v>45876</v>
      </c>
      <c r="E73" s="85">
        <v>0.75</v>
      </c>
      <c r="F73">
        <v>0</v>
      </c>
      <c r="G73">
        <v>25</v>
      </c>
      <c r="H73" t="s">
        <v>42</v>
      </c>
      <c r="I73">
        <v>3</v>
      </c>
    </row>
    <row r="74" spans="1:9" x14ac:dyDescent="0.15">
      <c r="A74" t="s">
        <v>40</v>
      </c>
      <c r="B74" t="s">
        <v>41</v>
      </c>
      <c r="C74">
        <v>0</v>
      </c>
      <c r="D74" s="82">
        <v>45876</v>
      </c>
      <c r="E74" s="85">
        <v>0.79166666666666663</v>
      </c>
      <c r="F74">
        <v>0</v>
      </c>
      <c r="G74">
        <v>25</v>
      </c>
      <c r="H74" t="s">
        <v>42</v>
      </c>
      <c r="I74">
        <v>3</v>
      </c>
    </row>
    <row r="75" spans="1:9" x14ac:dyDescent="0.15">
      <c r="A75" t="s">
        <v>40</v>
      </c>
      <c r="B75" t="s">
        <v>41</v>
      </c>
      <c r="C75">
        <v>0</v>
      </c>
      <c r="D75" s="82">
        <v>45876</v>
      </c>
      <c r="E75" s="85">
        <v>0.83333333333333337</v>
      </c>
      <c r="F75">
        <v>0</v>
      </c>
      <c r="G75">
        <v>25</v>
      </c>
      <c r="H75" t="s">
        <v>42</v>
      </c>
      <c r="I75">
        <v>3</v>
      </c>
    </row>
    <row r="76" spans="1:9" x14ac:dyDescent="0.15">
      <c r="A76" t="s">
        <v>40</v>
      </c>
      <c r="B76" t="s">
        <v>41</v>
      </c>
      <c r="C76">
        <v>0</v>
      </c>
      <c r="D76" s="82">
        <v>45876</v>
      </c>
      <c r="E76" s="85">
        <v>0.875</v>
      </c>
      <c r="F76">
        <v>0</v>
      </c>
      <c r="G76">
        <v>25</v>
      </c>
      <c r="H76" t="s">
        <v>42</v>
      </c>
      <c r="I76">
        <v>3</v>
      </c>
    </row>
    <row r="77" spans="1:9" x14ac:dyDescent="0.15">
      <c r="A77" t="s">
        <v>40</v>
      </c>
      <c r="B77" t="s">
        <v>41</v>
      </c>
      <c r="C77">
        <v>0</v>
      </c>
      <c r="D77" s="82">
        <v>45876</v>
      </c>
      <c r="E77" s="85">
        <v>0.91666666666666663</v>
      </c>
      <c r="F77">
        <v>0</v>
      </c>
      <c r="G77">
        <v>25</v>
      </c>
      <c r="H77" t="s">
        <v>42</v>
      </c>
      <c r="I77">
        <v>3</v>
      </c>
    </row>
    <row r="78" spans="1:9" x14ac:dyDescent="0.15">
      <c r="A78" t="s">
        <v>40</v>
      </c>
      <c r="B78" t="s">
        <v>41</v>
      </c>
      <c r="C78">
        <v>0</v>
      </c>
      <c r="D78" s="82">
        <v>45876</v>
      </c>
      <c r="E78" s="85">
        <v>0.95833333333333337</v>
      </c>
      <c r="F78">
        <v>0</v>
      </c>
      <c r="G78">
        <v>25</v>
      </c>
      <c r="H78" t="s">
        <v>42</v>
      </c>
      <c r="I78">
        <v>3</v>
      </c>
    </row>
    <row r="79" spans="1:9" x14ac:dyDescent="0.15">
      <c r="A79" t="s">
        <v>40</v>
      </c>
      <c r="B79" t="s">
        <v>41</v>
      </c>
      <c r="C79">
        <v>0</v>
      </c>
      <c r="D79" s="82">
        <v>45877</v>
      </c>
      <c r="E79" s="85">
        <v>0</v>
      </c>
      <c r="F79">
        <v>1</v>
      </c>
      <c r="G79">
        <v>25</v>
      </c>
      <c r="H79" t="s">
        <v>42</v>
      </c>
      <c r="I79">
        <v>3</v>
      </c>
    </row>
    <row r="80" spans="1:9" x14ac:dyDescent="0.15">
      <c r="A80" t="s">
        <v>40</v>
      </c>
      <c r="B80" t="s">
        <v>41</v>
      </c>
      <c r="C80">
        <v>0</v>
      </c>
      <c r="D80" s="82">
        <v>45877</v>
      </c>
      <c r="E80" s="85">
        <v>4.1666666666666664E-2</v>
      </c>
      <c r="F80">
        <v>1</v>
      </c>
      <c r="G80">
        <v>25</v>
      </c>
      <c r="H80" t="s">
        <v>42</v>
      </c>
      <c r="I80">
        <v>3</v>
      </c>
    </row>
    <row r="81" spans="1:9" x14ac:dyDescent="0.15">
      <c r="A81" t="s">
        <v>40</v>
      </c>
      <c r="B81" t="s">
        <v>41</v>
      </c>
      <c r="C81">
        <v>0</v>
      </c>
      <c r="D81" s="82">
        <v>45877</v>
      </c>
      <c r="E81" s="85">
        <v>8.3333333333333329E-2</v>
      </c>
      <c r="F81">
        <v>1</v>
      </c>
      <c r="G81">
        <v>25</v>
      </c>
      <c r="H81" t="s">
        <v>42</v>
      </c>
      <c r="I81">
        <v>3</v>
      </c>
    </row>
    <row r="82" spans="1:9" x14ac:dyDescent="0.15">
      <c r="A82" t="s">
        <v>40</v>
      </c>
      <c r="B82" t="s">
        <v>41</v>
      </c>
      <c r="C82">
        <v>0</v>
      </c>
      <c r="D82" s="82">
        <v>45877</v>
      </c>
      <c r="E82" s="85">
        <v>0.12638888888888888</v>
      </c>
      <c r="F82">
        <v>0</v>
      </c>
      <c r="G82">
        <v>25</v>
      </c>
      <c r="H82" t="s">
        <v>42</v>
      </c>
      <c r="I82">
        <v>3</v>
      </c>
    </row>
    <row r="83" spans="1:9" x14ac:dyDescent="0.15">
      <c r="A83" t="s">
        <v>40</v>
      </c>
      <c r="B83" t="s">
        <v>41</v>
      </c>
      <c r="C83">
        <v>0</v>
      </c>
      <c r="D83" s="82">
        <v>45877</v>
      </c>
      <c r="E83" s="85">
        <v>0.12708333333333333</v>
      </c>
      <c r="F83">
        <v>0</v>
      </c>
      <c r="G83">
        <v>25</v>
      </c>
      <c r="H83" t="s">
        <v>42</v>
      </c>
      <c r="I83">
        <v>3</v>
      </c>
    </row>
    <row r="84" spans="1:9" x14ac:dyDescent="0.15">
      <c r="A84" t="s">
        <v>40</v>
      </c>
      <c r="B84" t="s">
        <v>41</v>
      </c>
      <c r="C84">
        <v>0</v>
      </c>
      <c r="D84" s="82">
        <v>45877</v>
      </c>
      <c r="E84" s="85">
        <v>0.16666666666666666</v>
      </c>
      <c r="F84">
        <v>1</v>
      </c>
      <c r="G84">
        <v>25</v>
      </c>
      <c r="H84" t="s">
        <v>42</v>
      </c>
      <c r="I84">
        <v>3</v>
      </c>
    </row>
    <row r="85" spans="1:9" x14ac:dyDescent="0.15">
      <c r="A85" t="s">
        <v>40</v>
      </c>
      <c r="B85" t="s">
        <v>41</v>
      </c>
      <c r="C85">
        <v>0</v>
      </c>
      <c r="D85" s="82">
        <v>45877</v>
      </c>
      <c r="E85" s="85">
        <v>0.20833333333333334</v>
      </c>
      <c r="F85">
        <v>0</v>
      </c>
      <c r="G85">
        <v>25</v>
      </c>
      <c r="H85" t="s">
        <v>42</v>
      </c>
      <c r="I85">
        <v>3</v>
      </c>
    </row>
    <row r="86" spans="1:9" x14ac:dyDescent="0.15">
      <c r="A86" t="s">
        <v>40</v>
      </c>
      <c r="B86" t="s">
        <v>41</v>
      </c>
      <c r="C86">
        <v>0</v>
      </c>
      <c r="D86" s="82">
        <v>45877</v>
      </c>
      <c r="E86" s="85">
        <v>0.25208333333333333</v>
      </c>
      <c r="F86">
        <v>0</v>
      </c>
      <c r="G86">
        <v>25</v>
      </c>
      <c r="H86" t="s">
        <v>42</v>
      </c>
      <c r="I86">
        <v>3</v>
      </c>
    </row>
    <row r="87" spans="1:9" x14ac:dyDescent="0.15">
      <c r="A87" t="s">
        <v>40</v>
      </c>
      <c r="B87" t="s">
        <v>41</v>
      </c>
      <c r="C87">
        <v>0</v>
      </c>
      <c r="D87" s="82">
        <v>45877</v>
      </c>
      <c r="E87" s="85">
        <v>0.29166666666666669</v>
      </c>
      <c r="F87">
        <v>0</v>
      </c>
      <c r="G87">
        <v>25</v>
      </c>
      <c r="H87" t="s">
        <v>42</v>
      </c>
      <c r="I87">
        <v>3</v>
      </c>
    </row>
    <row r="88" spans="1:9" x14ac:dyDescent="0.15">
      <c r="A88" t="s">
        <v>40</v>
      </c>
      <c r="B88" t="s">
        <v>41</v>
      </c>
      <c r="C88">
        <v>0</v>
      </c>
      <c r="D88" s="82">
        <v>45877</v>
      </c>
      <c r="E88" s="85">
        <v>0.33333333333333331</v>
      </c>
      <c r="F88">
        <v>0</v>
      </c>
      <c r="G88">
        <v>25</v>
      </c>
      <c r="H88" t="s">
        <v>42</v>
      </c>
      <c r="I88">
        <v>3</v>
      </c>
    </row>
    <row r="89" spans="1:9" x14ac:dyDescent="0.15">
      <c r="A89" t="s">
        <v>40</v>
      </c>
      <c r="B89" t="s">
        <v>41</v>
      </c>
      <c r="C89">
        <v>0</v>
      </c>
      <c r="D89" s="82">
        <v>45877</v>
      </c>
      <c r="E89" s="85">
        <v>0.375</v>
      </c>
      <c r="F89">
        <v>0</v>
      </c>
      <c r="G89">
        <v>25</v>
      </c>
      <c r="H89" t="s">
        <v>42</v>
      </c>
      <c r="I89">
        <v>3</v>
      </c>
    </row>
    <row r="90" spans="1:9" x14ac:dyDescent="0.15">
      <c r="A90" t="s">
        <v>40</v>
      </c>
      <c r="B90" t="s">
        <v>41</v>
      </c>
      <c r="C90">
        <v>0</v>
      </c>
      <c r="D90" s="82">
        <v>45877</v>
      </c>
      <c r="E90" s="85">
        <v>0.41666666666666669</v>
      </c>
      <c r="F90">
        <v>0</v>
      </c>
      <c r="G90">
        <v>25</v>
      </c>
      <c r="H90" t="s">
        <v>42</v>
      </c>
      <c r="I90">
        <v>3</v>
      </c>
    </row>
    <row r="91" spans="1:9" x14ac:dyDescent="0.15">
      <c r="A91" t="s">
        <v>40</v>
      </c>
      <c r="B91" t="s">
        <v>41</v>
      </c>
      <c r="C91">
        <v>0</v>
      </c>
      <c r="D91" s="82">
        <v>45877</v>
      </c>
      <c r="E91" s="85">
        <v>0.45833333333333331</v>
      </c>
      <c r="F91">
        <v>0</v>
      </c>
      <c r="G91">
        <v>25</v>
      </c>
      <c r="H91" t="s">
        <v>42</v>
      </c>
      <c r="I91">
        <v>3</v>
      </c>
    </row>
    <row r="92" spans="1:9" x14ac:dyDescent="0.15">
      <c r="A92" t="s">
        <v>40</v>
      </c>
      <c r="B92" t="s">
        <v>41</v>
      </c>
      <c r="C92">
        <v>0</v>
      </c>
      <c r="D92" s="82">
        <v>45877</v>
      </c>
      <c r="E92" s="85">
        <v>0.5</v>
      </c>
      <c r="F92">
        <v>0</v>
      </c>
      <c r="G92">
        <v>25</v>
      </c>
      <c r="H92" t="s">
        <v>42</v>
      </c>
      <c r="I92">
        <v>3</v>
      </c>
    </row>
    <row r="93" spans="1:9" x14ac:dyDescent="0.15">
      <c r="A93" t="s">
        <v>40</v>
      </c>
      <c r="B93" t="s">
        <v>41</v>
      </c>
      <c r="C93">
        <v>0</v>
      </c>
      <c r="D93" s="82">
        <v>45877</v>
      </c>
      <c r="E93" s="85">
        <v>0.54166666666666663</v>
      </c>
      <c r="F93">
        <v>0</v>
      </c>
      <c r="G93">
        <v>25</v>
      </c>
      <c r="H93" t="s">
        <v>42</v>
      </c>
      <c r="I93">
        <v>3</v>
      </c>
    </row>
    <row r="94" spans="1:9" x14ac:dyDescent="0.15">
      <c r="A94" t="s">
        <v>40</v>
      </c>
      <c r="B94" t="s">
        <v>41</v>
      </c>
      <c r="C94">
        <v>0</v>
      </c>
      <c r="D94" s="82">
        <v>45877</v>
      </c>
      <c r="E94" s="85">
        <v>0.58333333333333337</v>
      </c>
      <c r="F94">
        <v>0</v>
      </c>
      <c r="G94">
        <v>25</v>
      </c>
      <c r="H94" t="s">
        <v>42</v>
      </c>
      <c r="I94">
        <v>3</v>
      </c>
    </row>
    <row r="95" spans="1:9" x14ac:dyDescent="0.15">
      <c r="A95" t="s">
        <v>40</v>
      </c>
      <c r="B95" t="s">
        <v>41</v>
      </c>
      <c r="C95">
        <v>0</v>
      </c>
      <c r="D95" s="82">
        <v>45877</v>
      </c>
      <c r="E95" s="85">
        <v>0.625</v>
      </c>
      <c r="F95">
        <v>0</v>
      </c>
      <c r="G95">
        <v>25</v>
      </c>
      <c r="H95" t="s">
        <v>42</v>
      </c>
      <c r="I95">
        <v>3</v>
      </c>
    </row>
    <row r="96" spans="1:9" x14ac:dyDescent="0.15">
      <c r="A96" t="s">
        <v>40</v>
      </c>
      <c r="B96" t="s">
        <v>41</v>
      </c>
      <c r="C96">
        <v>0</v>
      </c>
      <c r="D96" s="82">
        <v>45877</v>
      </c>
      <c r="E96" s="85">
        <v>0.66666666666666663</v>
      </c>
      <c r="F96">
        <v>0</v>
      </c>
      <c r="G96">
        <v>25</v>
      </c>
      <c r="H96" t="s">
        <v>42</v>
      </c>
      <c r="I96">
        <v>3</v>
      </c>
    </row>
    <row r="97" spans="1:9" x14ac:dyDescent="0.15">
      <c r="A97" t="s">
        <v>40</v>
      </c>
      <c r="B97" t="s">
        <v>41</v>
      </c>
      <c r="C97">
        <v>0</v>
      </c>
      <c r="D97" s="82">
        <v>45877</v>
      </c>
      <c r="E97" s="85">
        <v>0.70833333333333337</v>
      </c>
      <c r="F97">
        <v>0</v>
      </c>
      <c r="G97">
        <v>25</v>
      </c>
      <c r="H97" t="s">
        <v>42</v>
      </c>
      <c r="I97">
        <v>3</v>
      </c>
    </row>
    <row r="98" spans="1:9" x14ac:dyDescent="0.15">
      <c r="A98" t="s">
        <v>40</v>
      </c>
      <c r="B98" t="s">
        <v>41</v>
      </c>
      <c r="C98">
        <v>0</v>
      </c>
      <c r="D98" s="82">
        <v>45877</v>
      </c>
      <c r="E98" s="85">
        <v>0.75</v>
      </c>
      <c r="F98">
        <v>0</v>
      </c>
      <c r="G98">
        <v>25</v>
      </c>
      <c r="H98" t="s">
        <v>42</v>
      </c>
      <c r="I98">
        <v>3</v>
      </c>
    </row>
    <row r="99" spans="1:9" x14ac:dyDescent="0.15">
      <c r="A99" t="s">
        <v>40</v>
      </c>
      <c r="B99" t="s">
        <v>41</v>
      </c>
      <c r="C99">
        <v>0</v>
      </c>
      <c r="D99" s="82">
        <v>45877</v>
      </c>
      <c r="E99" s="85">
        <v>0.79166666666666663</v>
      </c>
      <c r="F99">
        <v>0</v>
      </c>
      <c r="G99">
        <v>25</v>
      </c>
      <c r="H99" t="s">
        <v>42</v>
      </c>
      <c r="I99">
        <v>3</v>
      </c>
    </row>
    <row r="100" spans="1:9" x14ac:dyDescent="0.15">
      <c r="A100" t="s">
        <v>40</v>
      </c>
      <c r="B100" t="s">
        <v>41</v>
      </c>
      <c r="C100">
        <v>0</v>
      </c>
      <c r="D100" s="82">
        <v>45877</v>
      </c>
      <c r="E100" s="85">
        <v>0.83333333333333337</v>
      </c>
      <c r="F100">
        <v>0</v>
      </c>
      <c r="G100">
        <v>25</v>
      </c>
      <c r="H100" t="s">
        <v>42</v>
      </c>
      <c r="I100">
        <v>3</v>
      </c>
    </row>
    <row r="101" spans="1:9" x14ac:dyDescent="0.15">
      <c r="A101" t="s">
        <v>40</v>
      </c>
      <c r="B101" t="s">
        <v>41</v>
      </c>
      <c r="C101">
        <v>0</v>
      </c>
      <c r="D101" s="82">
        <v>45877</v>
      </c>
      <c r="E101" s="85">
        <v>0.875</v>
      </c>
      <c r="F101">
        <v>0</v>
      </c>
      <c r="G101">
        <v>25</v>
      </c>
      <c r="H101" t="s">
        <v>42</v>
      </c>
      <c r="I101">
        <v>3</v>
      </c>
    </row>
    <row r="102" spans="1:9" x14ac:dyDescent="0.15">
      <c r="A102" t="s">
        <v>40</v>
      </c>
      <c r="B102" t="s">
        <v>41</v>
      </c>
      <c r="C102">
        <v>0</v>
      </c>
      <c r="D102" s="82">
        <v>45877</v>
      </c>
      <c r="E102" s="85">
        <v>0.91666666666666663</v>
      </c>
      <c r="F102">
        <v>1</v>
      </c>
      <c r="G102">
        <v>25</v>
      </c>
      <c r="H102" t="s">
        <v>42</v>
      </c>
      <c r="I102">
        <v>3</v>
      </c>
    </row>
    <row r="103" spans="1:9" x14ac:dyDescent="0.15">
      <c r="A103" t="s">
        <v>40</v>
      </c>
      <c r="B103" t="s">
        <v>41</v>
      </c>
      <c r="C103">
        <v>0</v>
      </c>
      <c r="D103" s="82">
        <v>45877</v>
      </c>
      <c r="E103" s="85">
        <v>0.95833333333333337</v>
      </c>
      <c r="F103">
        <v>1</v>
      </c>
      <c r="G103">
        <v>25</v>
      </c>
      <c r="H103" t="s">
        <v>42</v>
      </c>
      <c r="I103">
        <v>3</v>
      </c>
    </row>
    <row r="104" spans="1:9" x14ac:dyDescent="0.15">
      <c r="A104" t="s">
        <v>40</v>
      </c>
      <c r="B104" t="s">
        <v>41</v>
      </c>
      <c r="C104">
        <v>0</v>
      </c>
      <c r="D104" s="82">
        <v>45877</v>
      </c>
      <c r="E104" s="85">
        <v>0.95833333333333337</v>
      </c>
      <c r="F104">
        <v>0</v>
      </c>
      <c r="G104">
        <v>25</v>
      </c>
      <c r="H104" t="s">
        <v>42</v>
      </c>
      <c r="I104">
        <v>3</v>
      </c>
    </row>
    <row r="105" spans="1:9" x14ac:dyDescent="0.15">
      <c r="A105" t="s">
        <v>20</v>
      </c>
      <c r="B105" t="s">
        <v>23</v>
      </c>
      <c r="C105">
        <v>0</v>
      </c>
      <c r="D105" s="82">
        <v>45813</v>
      </c>
      <c r="E105" s="85">
        <v>0.54166666666666663</v>
      </c>
      <c r="F105">
        <v>1</v>
      </c>
      <c r="G105">
        <v>1</v>
      </c>
      <c r="H105" t="s">
        <v>29</v>
      </c>
      <c r="I105">
        <v>2</v>
      </c>
    </row>
    <row r="106" spans="1:9" x14ac:dyDescent="0.15">
      <c r="A106" t="s">
        <v>20</v>
      </c>
      <c r="B106" t="s">
        <v>23</v>
      </c>
      <c r="C106">
        <v>0</v>
      </c>
      <c r="D106" s="82">
        <v>45814</v>
      </c>
      <c r="E106" s="85">
        <v>0</v>
      </c>
      <c r="F106">
        <v>1</v>
      </c>
      <c r="G106">
        <v>1</v>
      </c>
      <c r="H106" t="s">
        <v>29</v>
      </c>
      <c r="I106">
        <v>3</v>
      </c>
    </row>
    <row r="107" spans="1:9" x14ac:dyDescent="0.15">
      <c r="A107" t="s">
        <v>20</v>
      </c>
      <c r="B107" t="s">
        <v>23</v>
      </c>
      <c r="C107">
        <v>0</v>
      </c>
      <c r="D107" s="82">
        <v>45814</v>
      </c>
      <c r="E107" s="85">
        <v>4.1666666666666664E-2</v>
      </c>
      <c r="F107">
        <v>1</v>
      </c>
      <c r="G107">
        <v>1</v>
      </c>
      <c r="H107" t="s">
        <v>29</v>
      </c>
      <c r="I107">
        <v>1</v>
      </c>
    </row>
    <row r="108" spans="1:9" x14ac:dyDescent="0.15">
      <c r="A108" t="s">
        <v>20</v>
      </c>
      <c r="B108" t="s">
        <v>23</v>
      </c>
      <c r="C108">
        <v>0</v>
      </c>
      <c r="D108" s="82">
        <v>45814</v>
      </c>
      <c r="E108" s="85">
        <v>4.2361111111111113E-2</v>
      </c>
      <c r="F108">
        <v>0</v>
      </c>
      <c r="G108">
        <v>1</v>
      </c>
      <c r="H108" t="s">
        <v>29</v>
      </c>
      <c r="I108">
        <v>1</v>
      </c>
    </row>
    <row r="109" spans="1:9" x14ac:dyDescent="0.15">
      <c r="A109" t="s">
        <v>20</v>
      </c>
      <c r="B109" t="s">
        <v>23</v>
      </c>
      <c r="C109">
        <v>0</v>
      </c>
      <c r="D109" s="82">
        <v>45814</v>
      </c>
      <c r="E109" s="85">
        <v>4.3055555555555555E-2</v>
      </c>
      <c r="F109">
        <v>0</v>
      </c>
      <c r="G109">
        <v>1</v>
      </c>
      <c r="H109" t="s">
        <v>29</v>
      </c>
      <c r="I109">
        <v>3</v>
      </c>
    </row>
    <row r="110" spans="1:9" x14ac:dyDescent="0.15">
      <c r="A110" t="s">
        <v>20</v>
      </c>
      <c r="B110" t="s">
        <v>23</v>
      </c>
      <c r="C110">
        <v>0</v>
      </c>
      <c r="D110" s="82">
        <v>45814</v>
      </c>
      <c r="E110" s="85">
        <v>4.3749999999999997E-2</v>
      </c>
      <c r="F110">
        <v>0</v>
      </c>
      <c r="G110">
        <v>1</v>
      </c>
      <c r="H110" t="s">
        <v>29</v>
      </c>
      <c r="I110">
        <v>2</v>
      </c>
    </row>
    <row r="111" spans="1:9" x14ac:dyDescent="0.15">
      <c r="A111" t="s">
        <v>20</v>
      </c>
      <c r="B111" t="s">
        <v>23</v>
      </c>
      <c r="C111">
        <v>0</v>
      </c>
      <c r="D111" s="82">
        <v>45814</v>
      </c>
      <c r="E111" s="85">
        <v>4.4444444444444446E-2</v>
      </c>
      <c r="F111">
        <v>0</v>
      </c>
      <c r="G111">
        <v>1</v>
      </c>
      <c r="H111" t="s">
        <v>29</v>
      </c>
      <c r="I111">
        <v>1</v>
      </c>
    </row>
    <row r="112" spans="1:9" x14ac:dyDescent="0.15">
      <c r="A112" t="s">
        <v>20</v>
      </c>
      <c r="B112" t="s">
        <v>23</v>
      </c>
      <c r="C112">
        <v>0</v>
      </c>
      <c r="D112" s="82">
        <v>45814</v>
      </c>
      <c r="E112" s="85">
        <v>8.3333333333333329E-2</v>
      </c>
      <c r="F112">
        <v>1</v>
      </c>
      <c r="G112">
        <v>1</v>
      </c>
      <c r="H112" t="s">
        <v>29</v>
      </c>
      <c r="I112">
        <v>1</v>
      </c>
    </row>
    <row r="113" spans="1:9" x14ac:dyDescent="0.15">
      <c r="A113" t="s">
        <v>20</v>
      </c>
      <c r="B113" t="s">
        <v>23</v>
      </c>
      <c r="C113">
        <v>0</v>
      </c>
      <c r="D113" s="82">
        <v>45814</v>
      </c>
      <c r="E113" s="85">
        <v>0.125</v>
      </c>
      <c r="F113">
        <v>1</v>
      </c>
      <c r="G113">
        <v>1</v>
      </c>
      <c r="H113" t="s">
        <v>29</v>
      </c>
      <c r="I113">
        <v>1</v>
      </c>
    </row>
    <row r="114" spans="1:9" x14ac:dyDescent="0.15">
      <c r="A114" t="s">
        <v>20</v>
      </c>
      <c r="B114" t="s">
        <v>23</v>
      </c>
      <c r="C114">
        <v>0</v>
      </c>
      <c r="D114" s="82">
        <v>45814</v>
      </c>
      <c r="E114" s="85">
        <v>0.16805555555555557</v>
      </c>
      <c r="F114">
        <v>1</v>
      </c>
      <c r="G114">
        <v>1</v>
      </c>
      <c r="H114" t="s">
        <v>29</v>
      </c>
      <c r="I114">
        <v>1</v>
      </c>
    </row>
    <row r="115" spans="1:9" x14ac:dyDescent="0.15">
      <c r="A115" t="s">
        <v>20</v>
      </c>
      <c r="B115" t="s">
        <v>23</v>
      </c>
      <c r="C115">
        <v>0</v>
      </c>
      <c r="D115" s="82">
        <v>45814</v>
      </c>
      <c r="E115" s="85">
        <v>0.16875000000000001</v>
      </c>
      <c r="F115">
        <v>0</v>
      </c>
      <c r="G115">
        <v>1</v>
      </c>
      <c r="H115" t="s">
        <v>29</v>
      </c>
      <c r="I115">
        <v>2</v>
      </c>
    </row>
    <row r="116" spans="1:9" x14ac:dyDescent="0.15">
      <c r="A116" t="s">
        <v>20</v>
      </c>
      <c r="B116" t="s">
        <v>23</v>
      </c>
      <c r="C116">
        <v>0</v>
      </c>
      <c r="D116" s="82">
        <v>45814</v>
      </c>
      <c r="E116" s="85">
        <v>0.16944444444444445</v>
      </c>
      <c r="F116">
        <v>0</v>
      </c>
      <c r="G116">
        <v>1</v>
      </c>
      <c r="H116" t="s">
        <v>29</v>
      </c>
      <c r="I116">
        <v>3</v>
      </c>
    </row>
    <row r="117" spans="1:9" x14ac:dyDescent="0.15">
      <c r="A117" t="s">
        <v>20</v>
      </c>
      <c r="B117" t="s">
        <v>23</v>
      </c>
      <c r="C117">
        <v>0</v>
      </c>
      <c r="D117" s="82">
        <v>45814</v>
      </c>
      <c r="E117" s="85">
        <v>0.20972222222222223</v>
      </c>
      <c r="F117">
        <v>1</v>
      </c>
      <c r="G117">
        <v>1</v>
      </c>
      <c r="H117" t="s">
        <v>29</v>
      </c>
      <c r="I117">
        <v>3</v>
      </c>
    </row>
    <row r="118" spans="1:9" x14ac:dyDescent="0.15">
      <c r="A118" t="s">
        <v>20</v>
      </c>
      <c r="B118" t="s">
        <v>23</v>
      </c>
      <c r="C118">
        <v>0</v>
      </c>
      <c r="D118" s="82">
        <v>45814</v>
      </c>
      <c r="E118" s="85">
        <v>0.21041666666666667</v>
      </c>
      <c r="F118">
        <v>0</v>
      </c>
      <c r="G118">
        <v>1</v>
      </c>
      <c r="H118" t="s">
        <v>29</v>
      </c>
      <c r="I118">
        <v>3</v>
      </c>
    </row>
    <row r="119" spans="1:9" x14ac:dyDescent="0.15">
      <c r="A119" t="s">
        <v>20</v>
      </c>
      <c r="B119" t="s">
        <v>23</v>
      </c>
      <c r="C119">
        <v>0</v>
      </c>
      <c r="D119" s="82">
        <v>45814</v>
      </c>
      <c r="E119" s="85">
        <v>0.87569444444444444</v>
      </c>
      <c r="F119">
        <v>1</v>
      </c>
      <c r="G119">
        <v>1</v>
      </c>
      <c r="H119" t="s">
        <v>29</v>
      </c>
      <c r="I119">
        <v>1</v>
      </c>
    </row>
    <row r="120" spans="1:9" x14ac:dyDescent="0.15">
      <c r="A120" t="s">
        <v>20</v>
      </c>
      <c r="B120" t="s">
        <v>23</v>
      </c>
      <c r="C120">
        <v>0</v>
      </c>
      <c r="D120" s="82">
        <v>45814</v>
      </c>
      <c r="E120" s="85">
        <v>0.87638888888888888</v>
      </c>
      <c r="F120">
        <v>0</v>
      </c>
      <c r="G120">
        <v>1</v>
      </c>
      <c r="H120" t="s">
        <v>29</v>
      </c>
      <c r="I120">
        <v>1</v>
      </c>
    </row>
    <row r="121" spans="1:9" x14ac:dyDescent="0.15">
      <c r="A121" t="s">
        <v>20</v>
      </c>
      <c r="B121" t="s">
        <v>23</v>
      </c>
      <c r="C121">
        <v>0</v>
      </c>
      <c r="D121" s="82">
        <v>45814</v>
      </c>
      <c r="E121" s="85">
        <v>0.91666666666666663</v>
      </c>
      <c r="F121">
        <v>1</v>
      </c>
      <c r="G121">
        <v>1</v>
      </c>
      <c r="H121" t="s">
        <v>29</v>
      </c>
      <c r="I121">
        <v>2</v>
      </c>
    </row>
    <row r="122" spans="1:9" x14ac:dyDescent="0.15">
      <c r="A122" t="s">
        <v>20</v>
      </c>
      <c r="B122" t="s">
        <v>23</v>
      </c>
      <c r="C122">
        <v>0</v>
      </c>
      <c r="D122" s="82">
        <v>45814</v>
      </c>
      <c r="E122" s="85">
        <v>0.91736111111111107</v>
      </c>
      <c r="F122">
        <v>0</v>
      </c>
      <c r="G122">
        <v>1</v>
      </c>
      <c r="H122" t="s">
        <v>29</v>
      </c>
      <c r="I122">
        <v>3</v>
      </c>
    </row>
    <row r="123" spans="1:9" x14ac:dyDescent="0.15">
      <c r="A123" t="s">
        <v>20</v>
      </c>
      <c r="B123" t="s">
        <v>23</v>
      </c>
      <c r="C123">
        <v>0</v>
      </c>
      <c r="D123" s="82">
        <v>45814</v>
      </c>
      <c r="E123" s="85">
        <v>0.91805555555555551</v>
      </c>
      <c r="F123">
        <v>0</v>
      </c>
      <c r="G123">
        <v>1</v>
      </c>
      <c r="H123" t="s">
        <v>29</v>
      </c>
      <c r="I123">
        <v>3</v>
      </c>
    </row>
    <row r="124" spans="1:9" x14ac:dyDescent="0.15">
      <c r="A124" t="s">
        <v>20</v>
      </c>
      <c r="B124" t="s">
        <v>23</v>
      </c>
      <c r="C124">
        <v>0</v>
      </c>
      <c r="D124" s="82">
        <v>45814</v>
      </c>
      <c r="E124" s="85">
        <v>0.91874999999999996</v>
      </c>
      <c r="F124">
        <v>0</v>
      </c>
      <c r="G124">
        <v>1</v>
      </c>
      <c r="H124" t="s">
        <v>29</v>
      </c>
      <c r="I124">
        <v>3</v>
      </c>
    </row>
    <row r="125" spans="1:9" x14ac:dyDescent="0.15">
      <c r="A125" t="s">
        <v>20</v>
      </c>
      <c r="B125" t="s">
        <v>23</v>
      </c>
      <c r="C125">
        <v>0</v>
      </c>
      <c r="D125" s="82">
        <v>45814</v>
      </c>
      <c r="E125" s="85">
        <v>0.9194444444444444</v>
      </c>
      <c r="F125">
        <v>0</v>
      </c>
      <c r="G125">
        <v>1</v>
      </c>
      <c r="H125" t="s">
        <v>29</v>
      </c>
      <c r="I125">
        <v>3</v>
      </c>
    </row>
    <row r="126" spans="1:9" x14ac:dyDescent="0.15">
      <c r="A126" t="s">
        <v>20</v>
      </c>
      <c r="B126" t="s">
        <v>23</v>
      </c>
      <c r="C126">
        <v>0</v>
      </c>
      <c r="D126" s="82">
        <v>45814</v>
      </c>
      <c r="E126" s="85">
        <v>0.95833333333333337</v>
      </c>
      <c r="F126">
        <v>1</v>
      </c>
      <c r="G126">
        <v>1</v>
      </c>
      <c r="H126" t="s">
        <v>29</v>
      </c>
      <c r="I126">
        <v>3</v>
      </c>
    </row>
    <row r="127" spans="1:9" x14ac:dyDescent="0.15">
      <c r="A127" t="s">
        <v>20</v>
      </c>
      <c r="B127" t="s">
        <v>23</v>
      </c>
      <c r="C127">
        <v>0</v>
      </c>
      <c r="D127" s="82">
        <v>45814</v>
      </c>
      <c r="E127" s="85">
        <v>0.95902777777777781</v>
      </c>
      <c r="F127">
        <v>0</v>
      </c>
      <c r="G127">
        <v>1</v>
      </c>
      <c r="H127" t="s">
        <v>29</v>
      </c>
      <c r="I127">
        <v>3</v>
      </c>
    </row>
    <row r="128" spans="1:9" x14ac:dyDescent="0.15">
      <c r="A128" t="s">
        <v>20</v>
      </c>
      <c r="B128" t="s">
        <v>23</v>
      </c>
      <c r="C128">
        <v>0</v>
      </c>
      <c r="D128" s="82">
        <v>45814</v>
      </c>
      <c r="E128" s="85">
        <v>0.95972222222222225</v>
      </c>
      <c r="F128">
        <v>0</v>
      </c>
      <c r="G128">
        <v>1</v>
      </c>
      <c r="H128" t="s">
        <v>29</v>
      </c>
      <c r="I128">
        <v>3</v>
      </c>
    </row>
    <row r="129" spans="1:9" x14ac:dyDescent="0.15">
      <c r="A129" t="s">
        <v>20</v>
      </c>
      <c r="B129" t="s">
        <v>23</v>
      </c>
      <c r="C129">
        <v>0</v>
      </c>
      <c r="D129" s="82">
        <v>45814</v>
      </c>
      <c r="E129" s="85">
        <v>0.9604166666666667</v>
      </c>
      <c r="F129">
        <v>0</v>
      </c>
      <c r="G129">
        <v>1</v>
      </c>
      <c r="H129" t="s">
        <v>29</v>
      </c>
      <c r="I129">
        <v>3</v>
      </c>
    </row>
    <row r="130" spans="1:9" x14ac:dyDescent="0.15">
      <c r="A130" t="s">
        <v>20</v>
      </c>
      <c r="B130" t="s">
        <v>23</v>
      </c>
      <c r="C130">
        <v>0</v>
      </c>
      <c r="D130" s="82">
        <v>45814</v>
      </c>
      <c r="E130" s="85">
        <v>0.96111111111111114</v>
      </c>
      <c r="F130">
        <v>0</v>
      </c>
      <c r="G130">
        <v>1</v>
      </c>
      <c r="H130" t="s">
        <v>29</v>
      </c>
      <c r="I130">
        <v>3</v>
      </c>
    </row>
    <row r="131" spans="1:9" x14ac:dyDescent="0.15">
      <c r="A131" t="s">
        <v>20</v>
      </c>
      <c r="B131" t="s">
        <v>23</v>
      </c>
      <c r="C131">
        <v>0</v>
      </c>
      <c r="D131" s="82">
        <v>45815</v>
      </c>
      <c r="E131" s="85">
        <v>0</v>
      </c>
      <c r="F131">
        <v>1</v>
      </c>
      <c r="G131">
        <v>25</v>
      </c>
      <c r="H131" t="s">
        <v>29</v>
      </c>
      <c r="I131">
        <v>2</v>
      </c>
    </row>
    <row r="132" spans="1:9" x14ac:dyDescent="0.15">
      <c r="A132" t="s">
        <v>20</v>
      </c>
      <c r="B132" t="s">
        <v>23</v>
      </c>
      <c r="C132">
        <v>0</v>
      </c>
      <c r="D132" s="82">
        <v>45815</v>
      </c>
      <c r="E132" s="85">
        <v>6.9444444444444447E-4</v>
      </c>
      <c r="F132">
        <v>0</v>
      </c>
      <c r="G132">
        <v>25</v>
      </c>
      <c r="H132" t="s">
        <v>29</v>
      </c>
      <c r="I132">
        <v>1</v>
      </c>
    </row>
    <row r="133" spans="1:9" x14ac:dyDescent="0.15">
      <c r="A133" t="s">
        <v>20</v>
      </c>
      <c r="B133" t="s">
        <v>23</v>
      </c>
      <c r="C133">
        <v>0</v>
      </c>
      <c r="D133" s="82">
        <v>45815</v>
      </c>
      <c r="E133" s="85">
        <v>1.3888888888888889E-3</v>
      </c>
      <c r="F133">
        <v>0</v>
      </c>
      <c r="G133">
        <v>25</v>
      </c>
      <c r="H133" t="s">
        <v>29</v>
      </c>
      <c r="I133">
        <v>3</v>
      </c>
    </row>
    <row r="134" spans="1:9" x14ac:dyDescent="0.15">
      <c r="A134" t="s">
        <v>20</v>
      </c>
      <c r="B134" t="s">
        <v>23</v>
      </c>
      <c r="C134">
        <v>0</v>
      </c>
      <c r="D134" s="82">
        <v>45815</v>
      </c>
      <c r="E134" s="85">
        <v>2.0833333333333333E-3</v>
      </c>
      <c r="F134">
        <v>0</v>
      </c>
      <c r="G134">
        <v>25</v>
      </c>
      <c r="H134" t="s">
        <v>29</v>
      </c>
      <c r="I134">
        <v>3</v>
      </c>
    </row>
    <row r="135" spans="1:9" x14ac:dyDescent="0.15">
      <c r="A135" t="s">
        <v>20</v>
      </c>
      <c r="B135" t="s">
        <v>23</v>
      </c>
      <c r="C135">
        <v>0</v>
      </c>
      <c r="D135" s="82">
        <v>45815</v>
      </c>
      <c r="E135" s="85">
        <v>2.7777777777777779E-3</v>
      </c>
      <c r="F135">
        <v>0</v>
      </c>
      <c r="G135">
        <v>25</v>
      </c>
      <c r="H135" t="s">
        <v>29</v>
      </c>
      <c r="I135">
        <v>3</v>
      </c>
    </row>
    <row r="136" spans="1:9" x14ac:dyDescent="0.15">
      <c r="A136" t="s">
        <v>20</v>
      </c>
      <c r="B136" t="s">
        <v>23</v>
      </c>
      <c r="C136">
        <v>0</v>
      </c>
      <c r="D136" s="82">
        <v>45815</v>
      </c>
      <c r="E136" s="85">
        <v>4.1666666666666664E-2</v>
      </c>
      <c r="F136">
        <v>1</v>
      </c>
      <c r="G136">
        <v>25</v>
      </c>
      <c r="H136" t="s">
        <v>29</v>
      </c>
      <c r="I136">
        <v>2</v>
      </c>
    </row>
    <row r="137" spans="1:9" x14ac:dyDescent="0.15">
      <c r="A137" t="s">
        <v>20</v>
      </c>
      <c r="B137" t="s">
        <v>23</v>
      </c>
      <c r="C137">
        <v>0</v>
      </c>
      <c r="D137" s="82">
        <v>45815</v>
      </c>
      <c r="E137" s="85">
        <v>4.3749999999999997E-2</v>
      </c>
      <c r="F137">
        <v>0</v>
      </c>
      <c r="G137">
        <v>25</v>
      </c>
      <c r="H137" t="s">
        <v>29</v>
      </c>
      <c r="I137">
        <v>2</v>
      </c>
    </row>
    <row r="138" spans="1:9" x14ac:dyDescent="0.15">
      <c r="A138" t="s">
        <v>20</v>
      </c>
      <c r="B138" t="s">
        <v>23</v>
      </c>
      <c r="C138">
        <v>0</v>
      </c>
      <c r="D138" s="82">
        <v>45815</v>
      </c>
      <c r="E138" s="85">
        <v>8.3333333333333329E-2</v>
      </c>
      <c r="F138">
        <v>1</v>
      </c>
      <c r="G138">
        <v>25</v>
      </c>
      <c r="H138" t="s">
        <v>29</v>
      </c>
      <c r="I138">
        <v>2</v>
      </c>
    </row>
    <row r="139" spans="1:9" x14ac:dyDescent="0.15">
      <c r="A139" t="s">
        <v>20</v>
      </c>
      <c r="B139" t="s">
        <v>23</v>
      </c>
      <c r="C139">
        <v>0</v>
      </c>
      <c r="D139" s="82">
        <v>45815</v>
      </c>
      <c r="E139" s="85">
        <v>8.4027777777777785E-2</v>
      </c>
      <c r="F139">
        <v>0</v>
      </c>
      <c r="G139">
        <v>25</v>
      </c>
      <c r="H139" t="s">
        <v>29</v>
      </c>
      <c r="I139">
        <v>3</v>
      </c>
    </row>
    <row r="140" spans="1:9" x14ac:dyDescent="0.15">
      <c r="A140" t="s">
        <v>20</v>
      </c>
      <c r="B140" t="s">
        <v>23</v>
      </c>
      <c r="C140">
        <v>0</v>
      </c>
      <c r="D140" s="82">
        <v>45815</v>
      </c>
      <c r="E140" s="85">
        <v>8.4722222222222227E-2</v>
      </c>
      <c r="F140">
        <v>0</v>
      </c>
      <c r="G140">
        <v>25</v>
      </c>
      <c r="H140" t="s">
        <v>29</v>
      </c>
      <c r="I140">
        <v>3</v>
      </c>
    </row>
    <row r="141" spans="1:9" x14ac:dyDescent="0.15">
      <c r="A141" t="s">
        <v>20</v>
      </c>
      <c r="B141" t="s">
        <v>23</v>
      </c>
      <c r="C141">
        <v>0</v>
      </c>
      <c r="D141" s="82">
        <v>45815</v>
      </c>
      <c r="E141" s="85">
        <v>0.125</v>
      </c>
      <c r="F141">
        <v>1</v>
      </c>
      <c r="G141">
        <v>25</v>
      </c>
      <c r="H141" t="s">
        <v>29</v>
      </c>
      <c r="I141">
        <v>1</v>
      </c>
    </row>
    <row r="142" spans="1:9" x14ac:dyDescent="0.15">
      <c r="A142" t="s">
        <v>40</v>
      </c>
      <c r="B142" t="s">
        <v>23</v>
      </c>
      <c r="C142">
        <v>0</v>
      </c>
      <c r="D142" s="82">
        <v>45871</v>
      </c>
      <c r="E142" s="85">
        <v>0.16875000000000001</v>
      </c>
      <c r="F142">
        <v>1</v>
      </c>
      <c r="G142">
        <v>1</v>
      </c>
      <c r="H142" t="s">
        <v>29</v>
      </c>
      <c r="I142">
        <v>4</v>
      </c>
    </row>
    <row r="143" spans="1:9" x14ac:dyDescent="0.15">
      <c r="A143" t="s">
        <v>40</v>
      </c>
      <c r="B143" t="s">
        <v>23</v>
      </c>
      <c r="C143">
        <v>0</v>
      </c>
      <c r="D143" s="82">
        <v>45871</v>
      </c>
      <c r="E143" s="85">
        <v>0.21041666666666667</v>
      </c>
      <c r="F143">
        <v>1</v>
      </c>
      <c r="G143">
        <v>1</v>
      </c>
      <c r="H143" t="s">
        <v>29</v>
      </c>
      <c r="I143">
        <v>4</v>
      </c>
    </row>
    <row r="144" spans="1:9" x14ac:dyDescent="0.15">
      <c r="A144" t="s">
        <v>40</v>
      </c>
      <c r="B144" t="s">
        <v>23</v>
      </c>
      <c r="C144">
        <v>0</v>
      </c>
      <c r="D144" s="82">
        <v>45871</v>
      </c>
      <c r="E144" s="85">
        <v>0.21111111111111111</v>
      </c>
      <c r="F144">
        <v>0</v>
      </c>
      <c r="G144">
        <v>1</v>
      </c>
      <c r="H144" t="s">
        <v>29</v>
      </c>
      <c r="I144">
        <v>4</v>
      </c>
    </row>
    <row r="145" spans="1:9" x14ac:dyDescent="0.15">
      <c r="A145" t="s">
        <v>40</v>
      </c>
      <c r="B145" t="s">
        <v>23</v>
      </c>
      <c r="C145">
        <v>0</v>
      </c>
      <c r="D145" s="82">
        <v>45875</v>
      </c>
      <c r="E145" s="85">
        <v>0.58402777777777781</v>
      </c>
      <c r="F145">
        <v>1</v>
      </c>
      <c r="G145">
        <v>3</v>
      </c>
      <c r="H145" t="s">
        <v>29</v>
      </c>
      <c r="I145">
        <v>4</v>
      </c>
    </row>
    <row r="146" spans="1:9" x14ac:dyDescent="0.15">
      <c r="A146" t="s">
        <v>40</v>
      </c>
      <c r="B146" t="s">
        <v>23</v>
      </c>
      <c r="C146">
        <v>0</v>
      </c>
      <c r="D146" s="82">
        <v>45875</v>
      </c>
      <c r="E146" s="85">
        <v>0.58472222222222225</v>
      </c>
      <c r="F146">
        <v>0</v>
      </c>
      <c r="G146">
        <v>3</v>
      </c>
      <c r="H146" t="s">
        <v>29</v>
      </c>
      <c r="I146">
        <v>4</v>
      </c>
    </row>
    <row r="147" spans="1:9" x14ac:dyDescent="0.15">
      <c r="A147" t="s">
        <v>40</v>
      </c>
      <c r="B147" t="s">
        <v>23</v>
      </c>
      <c r="C147">
        <v>0</v>
      </c>
      <c r="D147" s="82">
        <v>45875</v>
      </c>
      <c r="E147" s="85">
        <v>0.71111111111111114</v>
      </c>
      <c r="F147">
        <v>1</v>
      </c>
      <c r="G147">
        <v>3</v>
      </c>
      <c r="H147" t="s">
        <v>29</v>
      </c>
      <c r="I147">
        <v>4</v>
      </c>
    </row>
    <row r="148" spans="1:9" x14ac:dyDescent="0.15">
      <c r="A148" t="s">
        <v>40</v>
      </c>
      <c r="B148" t="s">
        <v>23</v>
      </c>
      <c r="C148">
        <v>0</v>
      </c>
      <c r="D148" s="82">
        <v>45875</v>
      </c>
      <c r="E148" s="85">
        <v>0.7944444444444444</v>
      </c>
      <c r="F148">
        <v>1</v>
      </c>
      <c r="G148">
        <v>3</v>
      </c>
      <c r="H148" t="s">
        <v>29</v>
      </c>
      <c r="I148">
        <v>4</v>
      </c>
    </row>
    <row r="149" spans="1:9" x14ac:dyDescent="0.15">
      <c r="A149" t="s">
        <v>40</v>
      </c>
      <c r="B149" t="s">
        <v>23</v>
      </c>
      <c r="C149">
        <v>0</v>
      </c>
      <c r="D149" s="82">
        <v>45875</v>
      </c>
      <c r="E149" s="85">
        <v>0.83611111111111114</v>
      </c>
      <c r="F149">
        <v>1</v>
      </c>
      <c r="G149">
        <v>3</v>
      </c>
      <c r="H149" t="s">
        <v>29</v>
      </c>
      <c r="I149">
        <v>4</v>
      </c>
    </row>
    <row r="150" spans="1:9" x14ac:dyDescent="0.15">
      <c r="A150" t="s">
        <v>40</v>
      </c>
      <c r="B150" t="s">
        <v>23</v>
      </c>
      <c r="C150">
        <v>0</v>
      </c>
      <c r="D150" s="82">
        <v>45876</v>
      </c>
      <c r="E150" s="85">
        <v>0.83333333333333337</v>
      </c>
      <c r="F150">
        <v>1</v>
      </c>
      <c r="G150">
        <v>5</v>
      </c>
      <c r="H150" t="s">
        <v>29</v>
      </c>
      <c r="I150">
        <v>4</v>
      </c>
    </row>
    <row r="151" spans="1:9" x14ac:dyDescent="0.15">
      <c r="A151" t="s">
        <v>40</v>
      </c>
      <c r="B151" t="s">
        <v>23</v>
      </c>
      <c r="C151">
        <v>0</v>
      </c>
      <c r="D151" s="82">
        <v>45876</v>
      </c>
      <c r="E151" s="85">
        <v>0.83402777777777781</v>
      </c>
      <c r="F151">
        <v>0</v>
      </c>
      <c r="G151">
        <v>5</v>
      </c>
      <c r="H151" t="s">
        <v>29</v>
      </c>
      <c r="I151">
        <v>4</v>
      </c>
    </row>
    <row r="152" spans="1:9" x14ac:dyDescent="0.15">
      <c r="A152" t="s">
        <v>40</v>
      </c>
      <c r="B152" t="s">
        <v>23</v>
      </c>
      <c r="C152">
        <v>0</v>
      </c>
      <c r="D152" s="82">
        <v>45876</v>
      </c>
      <c r="E152" s="85">
        <v>0.83472222222222225</v>
      </c>
      <c r="F152">
        <v>0</v>
      </c>
      <c r="G152">
        <v>5</v>
      </c>
      <c r="H152" t="s">
        <v>29</v>
      </c>
      <c r="I152">
        <v>4</v>
      </c>
    </row>
    <row r="153" spans="1:9" x14ac:dyDescent="0.15">
      <c r="A153" t="s">
        <v>40</v>
      </c>
      <c r="B153" t="s">
        <v>23</v>
      </c>
      <c r="C153">
        <v>0</v>
      </c>
      <c r="D153" s="82">
        <v>45876</v>
      </c>
      <c r="E153" s="85">
        <v>0.8354166666666667</v>
      </c>
      <c r="F153">
        <v>0</v>
      </c>
      <c r="G153">
        <v>5</v>
      </c>
      <c r="H153" t="s">
        <v>29</v>
      </c>
      <c r="I153">
        <v>4</v>
      </c>
    </row>
    <row r="154" spans="1:9" x14ac:dyDescent="0.15">
      <c r="A154" t="s">
        <v>40</v>
      </c>
      <c r="B154" t="s">
        <v>23</v>
      </c>
      <c r="C154">
        <v>0</v>
      </c>
      <c r="D154" s="82">
        <v>45876</v>
      </c>
      <c r="E154" s="85">
        <v>0.87569444444444444</v>
      </c>
      <c r="F154">
        <v>1</v>
      </c>
      <c r="G154">
        <v>5</v>
      </c>
      <c r="H154" t="s">
        <v>29</v>
      </c>
      <c r="I154">
        <v>4</v>
      </c>
    </row>
    <row r="155" spans="1:9" x14ac:dyDescent="0.15">
      <c r="A155" t="s">
        <v>40</v>
      </c>
      <c r="B155" t="s">
        <v>23</v>
      </c>
      <c r="C155">
        <v>0</v>
      </c>
      <c r="D155" s="82">
        <v>45876</v>
      </c>
      <c r="E155" s="85">
        <v>0.87638888888888888</v>
      </c>
      <c r="F155">
        <v>0</v>
      </c>
      <c r="G155">
        <v>5</v>
      </c>
      <c r="H155" t="s">
        <v>29</v>
      </c>
      <c r="I155">
        <v>4</v>
      </c>
    </row>
    <row r="156" spans="1:9" x14ac:dyDescent="0.15">
      <c r="A156" t="s">
        <v>40</v>
      </c>
      <c r="B156" t="s">
        <v>23</v>
      </c>
      <c r="C156">
        <v>0</v>
      </c>
      <c r="D156" s="82">
        <v>45876</v>
      </c>
      <c r="E156" s="85">
        <v>0.87708333333333333</v>
      </c>
      <c r="F156">
        <v>0</v>
      </c>
      <c r="G156">
        <v>5</v>
      </c>
      <c r="H156" t="s">
        <v>29</v>
      </c>
      <c r="I156">
        <v>4</v>
      </c>
    </row>
    <row r="157" spans="1:9" x14ac:dyDescent="0.15">
      <c r="A157" t="s">
        <v>40</v>
      </c>
      <c r="B157" t="s">
        <v>23</v>
      </c>
      <c r="C157">
        <v>0</v>
      </c>
      <c r="D157" s="82">
        <v>45877</v>
      </c>
      <c r="E157" s="85">
        <v>0</v>
      </c>
      <c r="F157">
        <v>1</v>
      </c>
      <c r="G157">
        <v>7</v>
      </c>
      <c r="H157" t="s">
        <v>29</v>
      </c>
      <c r="I157">
        <v>4</v>
      </c>
    </row>
    <row r="158" spans="1:9" x14ac:dyDescent="0.15">
      <c r="A158" t="s">
        <v>40</v>
      </c>
      <c r="B158" t="s">
        <v>23</v>
      </c>
      <c r="C158">
        <v>0</v>
      </c>
      <c r="D158" s="82">
        <v>45877</v>
      </c>
      <c r="E158" s="85">
        <v>6.9444444444444447E-4</v>
      </c>
      <c r="F158">
        <v>0</v>
      </c>
      <c r="G158">
        <v>7</v>
      </c>
      <c r="H158" t="s">
        <v>29</v>
      </c>
      <c r="I158">
        <v>4</v>
      </c>
    </row>
    <row r="159" spans="1:9" x14ac:dyDescent="0.15">
      <c r="A159" t="s">
        <v>40</v>
      </c>
      <c r="B159" t="s">
        <v>23</v>
      </c>
      <c r="C159">
        <v>0</v>
      </c>
      <c r="D159" s="82">
        <v>45877</v>
      </c>
      <c r="E159" s="85">
        <v>1.3888888888888889E-3</v>
      </c>
      <c r="F159">
        <v>0</v>
      </c>
      <c r="G159">
        <v>7</v>
      </c>
      <c r="H159" t="s">
        <v>29</v>
      </c>
      <c r="I159">
        <v>4</v>
      </c>
    </row>
    <row r="160" spans="1:9" x14ac:dyDescent="0.15">
      <c r="A160" t="s">
        <v>40</v>
      </c>
      <c r="B160" t="s">
        <v>23</v>
      </c>
      <c r="C160">
        <v>0</v>
      </c>
      <c r="D160" s="82">
        <v>45877</v>
      </c>
      <c r="E160" s="85">
        <v>2.0833333333333333E-3</v>
      </c>
      <c r="F160">
        <v>0</v>
      </c>
      <c r="G160">
        <v>7</v>
      </c>
      <c r="H160" t="s">
        <v>29</v>
      </c>
      <c r="I160">
        <v>4</v>
      </c>
    </row>
    <row r="161" spans="1:9" x14ac:dyDescent="0.15">
      <c r="A161" t="s">
        <v>40</v>
      </c>
      <c r="B161" t="s">
        <v>23</v>
      </c>
      <c r="C161">
        <v>0</v>
      </c>
      <c r="D161" s="82">
        <v>45877</v>
      </c>
      <c r="E161" s="85">
        <v>2.7777777777777779E-3</v>
      </c>
      <c r="F161">
        <v>0</v>
      </c>
      <c r="G161">
        <v>7</v>
      </c>
      <c r="H161" t="s">
        <v>29</v>
      </c>
      <c r="I161">
        <v>4</v>
      </c>
    </row>
    <row r="162" spans="1:9" x14ac:dyDescent="0.15">
      <c r="A162" t="s">
        <v>40</v>
      </c>
      <c r="B162" t="s">
        <v>23</v>
      </c>
      <c r="C162">
        <v>0</v>
      </c>
      <c r="D162" s="82">
        <v>45877</v>
      </c>
      <c r="E162" s="85">
        <v>4.1666666666666664E-2</v>
      </c>
      <c r="F162">
        <v>1</v>
      </c>
      <c r="G162">
        <v>7</v>
      </c>
      <c r="H162" t="s">
        <v>29</v>
      </c>
      <c r="I162">
        <v>4</v>
      </c>
    </row>
    <row r="163" spans="1:9" x14ac:dyDescent="0.15">
      <c r="A163" t="s">
        <v>40</v>
      </c>
      <c r="B163" t="s">
        <v>23</v>
      </c>
      <c r="C163">
        <v>0</v>
      </c>
      <c r="D163" s="82">
        <v>45877</v>
      </c>
      <c r="E163" s="85">
        <v>4.2361111111111113E-2</v>
      </c>
      <c r="F163">
        <v>0</v>
      </c>
      <c r="G163">
        <v>7</v>
      </c>
      <c r="H163" t="s">
        <v>29</v>
      </c>
      <c r="I163">
        <v>4</v>
      </c>
    </row>
    <row r="164" spans="1:9" x14ac:dyDescent="0.15">
      <c r="A164" t="s">
        <v>40</v>
      </c>
      <c r="B164" t="s">
        <v>23</v>
      </c>
      <c r="C164">
        <v>0</v>
      </c>
      <c r="D164" s="82">
        <v>45877</v>
      </c>
      <c r="E164" s="85">
        <v>4.3055555555555555E-2</v>
      </c>
      <c r="F164">
        <v>0</v>
      </c>
      <c r="G164">
        <v>7</v>
      </c>
      <c r="H164" t="s">
        <v>29</v>
      </c>
      <c r="I164">
        <v>4</v>
      </c>
    </row>
    <row r="165" spans="1:9" x14ac:dyDescent="0.15">
      <c r="A165" t="s">
        <v>40</v>
      </c>
      <c r="B165" t="s">
        <v>23</v>
      </c>
      <c r="C165">
        <v>0</v>
      </c>
      <c r="D165" s="82">
        <v>45877</v>
      </c>
      <c r="E165" s="85">
        <v>4.3749999999999997E-2</v>
      </c>
      <c r="F165">
        <v>0</v>
      </c>
      <c r="G165">
        <v>7</v>
      </c>
      <c r="H165" t="s">
        <v>29</v>
      </c>
      <c r="I165">
        <v>4</v>
      </c>
    </row>
    <row r="166" spans="1:9" x14ac:dyDescent="0.15">
      <c r="A166" t="s">
        <v>40</v>
      </c>
      <c r="B166" t="s">
        <v>23</v>
      </c>
      <c r="C166">
        <v>0</v>
      </c>
      <c r="D166" s="82">
        <v>45877</v>
      </c>
      <c r="E166" s="85">
        <v>8.3333333333333329E-2</v>
      </c>
      <c r="F166">
        <v>1</v>
      </c>
      <c r="G166">
        <v>7</v>
      </c>
      <c r="H166" t="s">
        <v>29</v>
      </c>
      <c r="I166">
        <v>4</v>
      </c>
    </row>
    <row r="167" spans="1:9" x14ac:dyDescent="0.15">
      <c r="A167" t="s">
        <v>20</v>
      </c>
      <c r="B167" t="s">
        <v>48</v>
      </c>
      <c r="C167">
        <v>0</v>
      </c>
      <c r="D167" s="82">
        <v>45814</v>
      </c>
      <c r="E167" s="85">
        <v>0.12708333333333333</v>
      </c>
      <c r="F167">
        <v>1</v>
      </c>
      <c r="G167">
        <v>5</v>
      </c>
      <c r="H167" t="s">
        <v>49</v>
      </c>
      <c r="I167">
        <v>3</v>
      </c>
    </row>
    <row r="168" spans="1:9" x14ac:dyDescent="0.15">
      <c r="A168" t="s">
        <v>20</v>
      </c>
      <c r="B168" t="s">
        <v>48</v>
      </c>
      <c r="C168">
        <v>0</v>
      </c>
      <c r="D168" s="82">
        <v>45814</v>
      </c>
      <c r="E168" s="85">
        <v>0.16944444444444445</v>
      </c>
      <c r="F168">
        <v>1</v>
      </c>
      <c r="G168">
        <v>5</v>
      </c>
      <c r="H168" t="s">
        <v>49</v>
      </c>
      <c r="I168">
        <v>3</v>
      </c>
    </row>
    <row r="169" spans="1:9" x14ac:dyDescent="0.15">
      <c r="A169" t="s">
        <v>20</v>
      </c>
      <c r="B169" t="s">
        <v>48</v>
      </c>
      <c r="C169">
        <v>0</v>
      </c>
      <c r="D169" s="82">
        <v>45815</v>
      </c>
      <c r="E169" s="85">
        <v>0.16666666666666666</v>
      </c>
      <c r="F169">
        <v>1</v>
      </c>
      <c r="G169">
        <v>2</v>
      </c>
      <c r="H169" t="s">
        <v>49</v>
      </c>
      <c r="I169">
        <v>1</v>
      </c>
    </row>
    <row r="170" spans="1:9" x14ac:dyDescent="0.15">
      <c r="A170" t="s">
        <v>20</v>
      </c>
      <c r="B170" t="s">
        <v>48</v>
      </c>
      <c r="C170">
        <v>0</v>
      </c>
      <c r="D170" s="82">
        <v>45815</v>
      </c>
      <c r="E170" s="85">
        <v>0.1673611111111111</v>
      </c>
      <c r="F170">
        <v>0</v>
      </c>
      <c r="G170">
        <v>2</v>
      </c>
      <c r="H170" t="s">
        <v>49</v>
      </c>
      <c r="I170">
        <v>1</v>
      </c>
    </row>
    <row r="171" spans="1:9" x14ac:dyDescent="0.15">
      <c r="A171" t="s">
        <v>20</v>
      </c>
      <c r="B171" t="s">
        <v>48</v>
      </c>
      <c r="C171">
        <v>0</v>
      </c>
      <c r="D171" s="82">
        <v>45815</v>
      </c>
      <c r="E171" s="85">
        <v>0.16805555555555557</v>
      </c>
      <c r="F171">
        <v>0</v>
      </c>
      <c r="G171">
        <v>2</v>
      </c>
      <c r="H171" t="s">
        <v>49</v>
      </c>
      <c r="I171">
        <v>1</v>
      </c>
    </row>
    <row r="172" spans="1:9" x14ac:dyDescent="0.15">
      <c r="A172" t="s">
        <v>40</v>
      </c>
      <c r="B172" t="s">
        <v>52</v>
      </c>
      <c r="C172">
        <v>0</v>
      </c>
      <c r="D172" s="82">
        <v>45870</v>
      </c>
      <c r="E172" s="85">
        <v>0.875</v>
      </c>
      <c r="F172">
        <v>1</v>
      </c>
      <c r="G172">
        <v>3</v>
      </c>
      <c r="H172" t="s">
        <v>49</v>
      </c>
      <c r="I172">
        <v>4</v>
      </c>
    </row>
    <row r="173" spans="1:9" x14ac:dyDescent="0.15">
      <c r="A173" t="s">
        <v>40</v>
      </c>
      <c r="B173" t="s">
        <v>52</v>
      </c>
      <c r="C173">
        <v>0</v>
      </c>
      <c r="D173" s="82">
        <v>45870</v>
      </c>
      <c r="E173" s="85">
        <v>0.91736111111111107</v>
      </c>
      <c r="F173">
        <v>1</v>
      </c>
      <c r="G173">
        <v>3</v>
      </c>
      <c r="H173" t="s">
        <v>49</v>
      </c>
      <c r="I173">
        <v>4</v>
      </c>
    </row>
    <row r="174" spans="1:9" x14ac:dyDescent="0.15">
      <c r="A174" t="s">
        <v>40</v>
      </c>
      <c r="B174" t="s">
        <v>52</v>
      </c>
      <c r="C174">
        <v>0</v>
      </c>
      <c r="D174" s="82">
        <v>45870</v>
      </c>
      <c r="E174" s="85">
        <v>0.95902777777777781</v>
      </c>
      <c r="F174">
        <v>1</v>
      </c>
      <c r="G174">
        <v>3</v>
      </c>
      <c r="H174" t="s">
        <v>49</v>
      </c>
      <c r="I174">
        <v>4</v>
      </c>
    </row>
    <row r="175" spans="1:9" x14ac:dyDescent="0.15">
      <c r="A175" t="s">
        <v>40</v>
      </c>
      <c r="B175" t="s">
        <v>52</v>
      </c>
      <c r="C175">
        <v>0</v>
      </c>
      <c r="D175" s="82">
        <v>45870</v>
      </c>
      <c r="E175" s="85">
        <v>0.96111111111111114</v>
      </c>
      <c r="F175">
        <v>0</v>
      </c>
      <c r="G175">
        <v>3</v>
      </c>
      <c r="H175" t="s">
        <v>49</v>
      </c>
      <c r="I175">
        <v>4</v>
      </c>
    </row>
    <row r="176" spans="1:9" x14ac:dyDescent="0.15">
      <c r="A176" t="s">
        <v>40</v>
      </c>
      <c r="B176" t="s">
        <v>52</v>
      </c>
      <c r="C176">
        <v>0</v>
      </c>
      <c r="D176" s="82">
        <v>45871</v>
      </c>
      <c r="E176" s="85">
        <v>6.9444444444444447E-4</v>
      </c>
      <c r="F176">
        <v>1</v>
      </c>
      <c r="G176">
        <v>4</v>
      </c>
      <c r="H176" t="s">
        <v>49</v>
      </c>
      <c r="I176">
        <v>4</v>
      </c>
    </row>
    <row r="177" spans="1:9" x14ac:dyDescent="0.15">
      <c r="A177" t="s">
        <v>40</v>
      </c>
      <c r="B177" t="s">
        <v>52</v>
      </c>
      <c r="C177">
        <v>0</v>
      </c>
      <c r="D177" s="82">
        <v>45871</v>
      </c>
      <c r="E177" s="85">
        <v>1.3888888888888889E-3</v>
      </c>
      <c r="F177">
        <v>0</v>
      </c>
      <c r="G177">
        <v>4</v>
      </c>
      <c r="H177" t="s">
        <v>49</v>
      </c>
      <c r="I177">
        <v>4</v>
      </c>
    </row>
    <row r="178" spans="1:9" x14ac:dyDescent="0.15">
      <c r="A178" t="s">
        <v>40</v>
      </c>
      <c r="B178" t="s">
        <v>52</v>
      </c>
      <c r="C178">
        <v>0</v>
      </c>
      <c r="D178" s="82">
        <v>45871</v>
      </c>
      <c r="E178" s="85">
        <v>4.2361111111111113E-2</v>
      </c>
      <c r="F178">
        <v>1</v>
      </c>
      <c r="G178">
        <v>4</v>
      </c>
      <c r="H178" t="s">
        <v>49</v>
      </c>
      <c r="I178">
        <v>4</v>
      </c>
    </row>
    <row r="179" spans="1:9" x14ac:dyDescent="0.15">
      <c r="A179" t="s">
        <v>40</v>
      </c>
      <c r="B179" t="s">
        <v>52</v>
      </c>
      <c r="C179">
        <v>0</v>
      </c>
      <c r="D179" s="82">
        <v>45871</v>
      </c>
      <c r="E179" s="85">
        <v>4.3055555555555555E-2</v>
      </c>
      <c r="F179">
        <v>0</v>
      </c>
      <c r="G179">
        <v>4</v>
      </c>
      <c r="H179" t="s">
        <v>49</v>
      </c>
      <c r="I179">
        <v>4</v>
      </c>
    </row>
    <row r="180" spans="1:9" x14ac:dyDescent="0.15">
      <c r="A180" t="s">
        <v>40</v>
      </c>
      <c r="B180" t="s">
        <v>52</v>
      </c>
      <c r="C180">
        <v>0</v>
      </c>
      <c r="D180" s="82">
        <v>45871</v>
      </c>
      <c r="E180" s="85">
        <v>4.3749999999999997E-2</v>
      </c>
      <c r="F180">
        <v>0</v>
      </c>
      <c r="G180">
        <v>4</v>
      </c>
      <c r="H180" t="s">
        <v>49</v>
      </c>
      <c r="I180">
        <v>4</v>
      </c>
    </row>
    <row r="181" spans="1:9" x14ac:dyDescent="0.15">
      <c r="A181" t="s">
        <v>40</v>
      </c>
      <c r="B181" t="s">
        <v>52</v>
      </c>
      <c r="C181">
        <v>0</v>
      </c>
      <c r="D181" s="82">
        <v>45871</v>
      </c>
      <c r="E181" s="85">
        <v>4.4444444444444446E-2</v>
      </c>
      <c r="F181">
        <v>0</v>
      </c>
      <c r="G181">
        <v>4</v>
      </c>
      <c r="H181" t="s">
        <v>49</v>
      </c>
      <c r="I181">
        <v>4</v>
      </c>
    </row>
    <row r="182" spans="1:9" x14ac:dyDescent="0.15">
      <c r="A182" t="s">
        <v>40</v>
      </c>
      <c r="B182" t="s">
        <v>52</v>
      </c>
      <c r="C182">
        <v>0</v>
      </c>
      <c r="D182" s="82">
        <v>45871</v>
      </c>
      <c r="E182" s="85">
        <v>8.3333333333333329E-2</v>
      </c>
      <c r="F182">
        <v>1</v>
      </c>
      <c r="G182">
        <v>4</v>
      </c>
      <c r="H182" t="s">
        <v>49</v>
      </c>
      <c r="I182">
        <v>4</v>
      </c>
    </row>
    <row r="183" spans="1:9" x14ac:dyDescent="0.15">
      <c r="A183" t="s">
        <v>40</v>
      </c>
      <c r="B183" t="s">
        <v>52</v>
      </c>
      <c r="C183">
        <v>0</v>
      </c>
      <c r="D183" s="82">
        <v>45871</v>
      </c>
      <c r="E183" s="85">
        <v>8.4027777777777785E-2</v>
      </c>
      <c r="F183">
        <v>0</v>
      </c>
      <c r="G183">
        <v>4</v>
      </c>
      <c r="H183" t="s">
        <v>49</v>
      </c>
      <c r="I183">
        <v>4</v>
      </c>
    </row>
    <row r="184" spans="1:9" x14ac:dyDescent="0.15">
      <c r="A184" t="s">
        <v>40</v>
      </c>
      <c r="B184" t="s">
        <v>52</v>
      </c>
      <c r="C184">
        <v>0</v>
      </c>
      <c r="D184" s="82">
        <v>45871</v>
      </c>
      <c r="E184" s="85">
        <v>8.4722222222222227E-2</v>
      </c>
      <c r="F184">
        <v>0</v>
      </c>
      <c r="G184">
        <v>4</v>
      </c>
      <c r="H184" t="s">
        <v>49</v>
      </c>
      <c r="I184">
        <v>4</v>
      </c>
    </row>
    <row r="185" spans="1:9" x14ac:dyDescent="0.15">
      <c r="A185" t="s">
        <v>40</v>
      </c>
      <c r="B185" t="s">
        <v>52</v>
      </c>
      <c r="C185">
        <v>0</v>
      </c>
      <c r="D185" s="82">
        <v>45871</v>
      </c>
      <c r="E185" s="85">
        <v>8.5416666666666669E-2</v>
      </c>
      <c r="F185">
        <v>0</v>
      </c>
      <c r="G185">
        <v>4</v>
      </c>
      <c r="H185" t="s">
        <v>49</v>
      </c>
      <c r="I185">
        <v>4</v>
      </c>
    </row>
    <row r="186" spans="1:9" x14ac:dyDescent="0.15">
      <c r="A186" t="s">
        <v>40</v>
      </c>
      <c r="B186" t="s">
        <v>52</v>
      </c>
      <c r="C186">
        <v>0</v>
      </c>
      <c r="D186" s="82">
        <v>45871</v>
      </c>
      <c r="E186" s="85">
        <v>8.611111111111111E-2</v>
      </c>
      <c r="F186">
        <v>0</v>
      </c>
      <c r="G186">
        <v>4</v>
      </c>
      <c r="H186" t="s">
        <v>49</v>
      </c>
      <c r="I186">
        <v>4</v>
      </c>
    </row>
    <row r="187" spans="1:9" x14ac:dyDescent="0.15">
      <c r="A187" t="s">
        <v>40</v>
      </c>
      <c r="B187" t="s">
        <v>52</v>
      </c>
      <c r="C187">
        <v>0</v>
      </c>
      <c r="D187" s="82">
        <v>45871</v>
      </c>
      <c r="E187" s="85">
        <v>0.125</v>
      </c>
      <c r="F187">
        <v>1</v>
      </c>
      <c r="G187">
        <v>4</v>
      </c>
      <c r="H187" t="s">
        <v>49</v>
      </c>
      <c r="I187">
        <v>4</v>
      </c>
    </row>
    <row r="188" spans="1:9" x14ac:dyDescent="0.15">
      <c r="A188" t="s">
        <v>40</v>
      </c>
      <c r="B188" t="s">
        <v>52</v>
      </c>
      <c r="C188">
        <v>0</v>
      </c>
      <c r="D188" s="82">
        <v>45871</v>
      </c>
      <c r="E188" s="85">
        <v>0.12569444444444444</v>
      </c>
      <c r="F188">
        <v>0</v>
      </c>
      <c r="G188">
        <v>4</v>
      </c>
      <c r="H188" t="s">
        <v>49</v>
      </c>
      <c r="I188">
        <v>4</v>
      </c>
    </row>
    <row r="189" spans="1:9" x14ac:dyDescent="0.15">
      <c r="A189" t="s">
        <v>40</v>
      </c>
      <c r="B189" t="s">
        <v>52</v>
      </c>
      <c r="C189">
        <v>0</v>
      </c>
      <c r="D189" s="82">
        <v>45871</v>
      </c>
      <c r="E189" s="85">
        <v>0.12638888888888888</v>
      </c>
      <c r="F189">
        <v>0</v>
      </c>
      <c r="G189">
        <v>4</v>
      </c>
      <c r="H189" t="s">
        <v>49</v>
      </c>
      <c r="I189">
        <v>4</v>
      </c>
    </row>
    <row r="190" spans="1:9" x14ac:dyDescent="0.15">
      <c r="A190" t="s">
        <v>40</v>
      </c>
      <c r="B190" t="s">
        <v>52</v>
      </c>
      <c r="C190">
        <v>0</v>
      </c>
      <c r="D190" s="82">
        <v>45871</v>
      </c>
      <c r="E190" s="85">
        <v>0.12708333333333333</v>
      </c>
      <c r="F190">
        <v>0</v>
      </c>
      <c r="G190">
        <v>4</v>
      </c>
      <c r="H190" t="s">
        <v>49</v>
      </c>
      <c r="I190">
        <v>4</v>
      </c>
    </row>
    <row r="191" spans="1:9" x14ac:dyDescent="0.15">
      <c r="A191" t="s">
        <v>40</v>
      </c>
      <c r="B191" t="s">
        <v>52</v>
      </c>
      <c r="C191">
        <v>0</v>
      </c>
      <c r="D191" s="82">
        <v>45871</v>
      </c>
      <c r="E191" s="85">
        <v>0.12777777777777777</v>
      </c>
      <c r="F191">
        <v>0</v>
      </c>
      <c r="G191">
        <v>4</v>
      </c>
      <c r="H191" t="s">
        <v>49</v>
      </c>
      <c r="I191">
        <v>4</v>
      </c>
    </row>
    <row r="192" spans="1:9" x14ac:dyDescent="0.15">
      <c r="A192" t="s">
        <v>40</v>
      </c>
      <c r="B192" t="s">
        <v>52</v>
      </c>
      <c r="C192">
        <v>0</v>
      </c>
      <c r="D192" s="82">
        <v>45871</v>
      </c>
      <c r="E192" s="85">
        <v>0.16666666666666666</v>
      </c>
      <c r="F192">
        <v>1</v>
      </c>
      <c r="G192">
        <v>4</v>
      </c>
      <c r="H192" t="s">
        <v>49</v>
      </c>
      <c r="I192">
        <v>4</v>
      </c>
    </row>
    <row r="193" spans="1:9" x14ac:dyDescent="0.15">
      <c r="A193" t="s">
        <v>40</v>
      </c>
      <c r="B193" t="s">
        <v>52</v>
      </c>
      <c r="C193">
        <v>0</v>
      </c>
      <c r="D193" s="82">
        <v>45871</v>
      </c>
      <c r="E193" s="85">
        <v>0.1673611111111111</v>
      </c>
      <c r="F193">
        <v>0</v>
      </c>
      <c r="G193">
        <v>4</v>
      </c>
      <c r="H193" t="s">
        <v>49</v>
      </c>
      <c r="I193">
        <v>4</v>
      </c>
    </row>
    <row r="194" spans="1:9" x14ac:dyDescent="0.15">
      <c r="A194" t="s">
        <v>40</v>
      </c>
      <c r="B194" t="s">
        <v>52</v>
      </c>
      <c r="C194">
        <v>0</v>
      </c>
      <c r="D194" s="82">
        <v>45871</v>
      </c>
      <c r="E194" s="85">
        <v>0.16805555555555557</v>
      </c>
      <c r="F194">
        <v>0</v>
      </c>
      <c r="G194">
        <v>4</v>
      </c>
      <c r="H194" t="s">
        <v>49</v>
      </c>
      <c r="I194">
        <v>4</v>
      </c>
    </row>
    <row r="195" spans="1:9" x14ac:dyDescent="0.15">
      <c r="A195" t="s">
        <v>40</v>
      </c>
      <c r="B195" t="s">
        <v>52</v>
      </c>
      <c r="C195">
        <v>0</v>
      </c>
      <c r="D195" s="82">
        <v>45871</v>
      </c>
      <c r="E195" s="85">
        <v>0.16875000000000001</v>
      </c>
      <c r="F195">
        <v>0</v>
      </c>
      <c r="G195">
        <v>4</v>
      </c>
      <c r="H195" t="s">
        <v>49</v>
      </c>
      <c r="I195">
        <v>4</v>
      </c>
    </row>
    <row r="196" spans="1:9" x14ac:dyDescent="0.15">
      <c r="A196" t="s">
        <v>40</v>
      </c>
      <c r="B196" t="s">
        <v>52</v>
      </c>
      <c r="C196">
        <v>0</v>
      </c>
      <c r="D196" s="82">
        <v>45871</v>
      </c>
      <c r="E196" s="85">
        <v>0.16944444444444445</v>
      </c>
      <c r="F196">
        <v>0</v>
      </c>
      <c r="G196">
        <v>4</v>
      </c>
      <c r="H196" t="s">
        <v>49</v>
      </c>
      <c r="I196">
        <v>4</v>
      </c>
    </row>
    <row r="197" spans="1:9" x14ac:dyDescent="0.15">
      <c r="A197" t="s">
        <v>40</v>
      </c>
      <c r="B197" t="s">
        <v>52</v>
      </c>
      <c r="C197">
        <v>0</v>
      </c>
      <c r="D197" s="82">
        <v>45871</v>
      </c>
      <c r="E197" s="85">
        <v>0.20833333333333334</v>
      </c>
      <c r="F197">
        <v>1</v>
      </c>
      <c r="G197">
        <v>4</v>
      </c>
      <c r="H197" t="s">
        <v>49</v>
      </c>
      <c r="I197">
        <v>4</v>
      </c>
    </row>
    <row r="198" spans="1:9" x14ac:dyDescent="0.15">
      <c r="A198" t="s">
        <v>40</v>
      </c>
      <c r="B198" t="s">
        <v>52</v>
      </c>
      <c r="C198">
        <v>0</v>
      </c>
      <c r="D198" s="82">
        <v>45871</v>
      </c>
      <c r="E198" s="85">
        <v>0.20902777777777778</v>
      </c>
      <c r="F198">
        <v>0</v>
      </c>
      <c r="G198">
        <v>4</v>
      </c>
      <c r="H198" t="s">
        <v>49</v>
      </c>
      <c r="I198">
        <v>4</v>
      </c>
    </row>
    <row r="199" spans="1:9" x14ac:dyDescent="0.15">
      <c r="A199" t="s">
        <v>40</v>
      </c>
      <c r="B199" t="s">
        <v>52</v>
      </c>
      <c r="C199">
        <v>0</v>
      </c>
      <c r="D199" s="82">
        <v>45871</v>
      </c>
      <c r="E199" s="85">
        <v>0.20972222222222223</v>
      </c>
      <c r="F199">
        <v>0</v>
      </c>
      <c r="G199">
        <v>4</v>
      </c>
      <c r="H199" t="s">
        <v>49</v>
      </c>
      <c r="I199">
        <v>4</v>
      </c>
    </row>
    <row r="200" spans="1:9" x14ac:dyDescent="0.15">
      <c r="A200" t="s">
        <v>40</v>
      </c>
      <c r="B200" t="s">
        <v>52</v>
      </c>
      <c r="C200">
        <v>0</v>
      </c>
      <c r="D200" s="82">
        <v>45871</v>
      </c>
      <c r="E200" s="85">
        <v>0.21041666666666667</v>
      </c>
      <c r="F200">
        <v>0</v>
      </c>
      <c r="G200">
        <v>4</v>
      </c>
      <c r="H200" t="s">
        <v>49</v>
      </c>
      <c r="I200">
        <v>4</v>
      </c>
    </row>
    <row r="201" spans="1:9" x14ac:dyDescent="0.15">
      <c r="A201" t="s">
        <v>40</v>
      </c>
      <c r="B201" t="s">
        <v>52</v>
      </c>
      <c r="C201">
        <v>0</v>
      </c>
      <c r="D201" s="82">
        <v>45871</v>
      </c>
      <c r="E201" s="85">
        <v>0.21111111111111111</v>
      </c>
      <c r="F201">
        <v>0</v>
      </c>
      <c r="G201">
        <v>4</v>
      </c>
      <c r="H201" t="s">
        <v>49</v>
      </c>
      <c r="I201">
        <v>4</v>
      </c>
    </row>
    <row r="202" spans="1:9" x14ac:dyDescent="0.15">
      <c r="A202" t="s">
        <v>40</v>
      </c>
      <c r="B202" t="s">
        <v>52</v>
      </c>
      <c r="C202">
        <v>0</v>
      </c>
      <c r="D202" s="82">
        <v>45871</v>
      </c>
      <c r="E202" s="85">
        <v>0.25</v>
      </c>
      <c r="F202">
        <v>1</v>
      </c>
      <c r="G202">
        <v>4</v>
      </c>
      <c r="H202" t="s">
        <v>49</v>
      </c>
      <c r="I202">
        <v>4</v>
      </c>
    </row>
    <row r="203" spans="1:9" x14ac:dyDescent="0.15">
      <c r="A203" t="s">
        <v>40</v>
      </c>
      <c r="B203" t="s">
        <v>52</v>
      </c>
      <c r="C203">
        <v>0</v>
      </c>
      <c r="D203" s="82">
        <v>45871</v>
      </c>
      <c r="E203" s="85">
        <v>0.25069444444444444</v>
      </c>
      <c r="F203">
        <v>0</v>
      </c>
      <c r="G203">
        <v>4</v>
      </c>
      <c r="H203" t="s">
        <v>49</v>
      </c>
      <c r="I203">
        <v>4</v>
      </c>
    </row>
    <row r="204" spans="1:9" x14ac:dyDescent="0.15">
      <c r="A204" t="s">
        <v>40</v>
      </c>
      <c r="B204" t="s">
        <v>52</v>
      </c>
      <c r="C204">
        <v>0</v>
      </c>
      <c r="D204" s="82">
        <v>45871</v>
      </c>
      <c r="E204" s="85">
        <v>0.25138888888888888</v>
      </c>
      <c r="F204">
        <v>0</v>
      </c>
      <c r="G204">
        <v>4</v>
      </c>
      <c r="H204" t="s">
        <v>49</v>
      </c>
      <c r="I204">
        <v>4</v>
      </c>
    </row>
    <row r="205" spans="1:9" x14ac:dyDescent="0.15">
      <c r="A205" t="s">
        <v>40</v>
      </c>
      <c r="B205" t="s">
        <v>52</v>
      </c>
      <c r="C205">
        <v>0</v>
      </c>
      <c r="D205" s="82">
        <v>45871</v>
      </c>
      <c r="E205" s="85">
        <v>0.25208333333333333</v>
      </c>
      <c r="F205">
        <v>0</v>
      </c>
      <c r="G205">
        <v>4</v>
      </c>
      <c r="H205" t="s">
        <v>49</v>
      </c>
      <c r="I205">
        <v>4</v>
      </c>
    </row>
    <row r="206" spans="1:9" x14ac:dyDescent="0.15">
      <c r="A206" t="s">
        <v>40</v>
      </c>
      <c r="B206" t="s">
        <v>52</v>
      </c>
      <c r="C206">
        <v>0</v>
      </c>
      <c r="D206" s="82">
        <v>45871</v>
      </c>
      <c r="E206" s="85">
        <v>0.25277777777777777</v>
      </c>
      <c r="F206">
        <v>0</v>
      </c>
      <c r="G206">
        <v>4</v>
      </c>
      <c r="H206" t="s">
        <v>49</v>
      </c>
      <c r="I206">
        <v>4</v>
      </c>
    </row>
    <row r="207" spans="1:9" x14ac:dyDescent="0.15">
      <c r="A207" t="s">
        <v>40</v>
      </c>
      <c r="B207" t="s">
        <v>52</v>
      </c>
      <c r="C207">
        <v>0</v>
      </c>
      <c r="D207" s="82">
        <v>45871</v>
      </c>
      <c r="E207" s="85">
        <v>0.79374999999999996</v>
      </c>
      <c r="F207">
        <v>1</v>
      </c>
      <c r="G207">
        <v>4</v>
      </c>
      <c r="H207" t="s">
        <v>49</v>
      </c>
      <c r="I207">
        <v>4</v>
      </c>
    </row>
    <row r="208" spans="1:9" x14ac:dyDescent="0.15">
      <c r="A208" t="s">
        <v>40</v>
      </c>
      <c r="B208" t="s">
        <v>52</v>
      </c>
      <c r="C208">
        <v>0</v>
      </c>
      <c r="D208" s="82">
        <v>45871</v>
      </c>
      <c r="E208" s="85">
        <v>0.875</v>
      </c>
      <c r="F208">
        <v>1</v>
      </c>
      <c r="G208">
        <v>4</v>
      </c>
      <c r="H208" t="s">
        <v>49</v>
      </c>
      <c r="I208">
        <v>4</v>
      </c>
    </row>
    <row r="209" spans="1:9" x14ac:dyDescent="0.15">
      <c r="A209" t="s">
        <v>40</v>
      </c>
      <c r="B209" t="s">
        <v>52</v>
      </c>
      <c r="C209">
        <v>0</v>
      </c>
      <c r="D209" s="82">
        <v>45871</v>
      </c>
      <c r="E209" s="85">
        <v>0.87569444444444444</v>
      </c>
      <c r="F209">
        <v>0</v>
      </c>
      <c r="G209">
        <v>4</v>
      </c>
      <c r="H209" t="s">
        <v>49</v>
      </c>
      <c r="I209">
        <v>4</v>
      </c>
    </row>
    <row r="210" spans="1:9" x14ac:dyDescent="0.15">
      <c r="A210" t="s">
        <v>40</v>
      </c>
      <c r="B210" t="s">
        <v>52</v>
      </c>
      <c r="C210">
        <v>0</v>
      </c>
      <c r="D210" s="82">
        <v>45871</v>
      </c>
      <c r="E210" s="85">
        <v>0.91666666666666663</v>
      </c>
      <c r="F210">
        <v>1</v>
      </c>
      <c r="G210">
        <v>4</v>
      </c>
      <c r="H210" t="s">
        <v>49</v>
      </c>
      <c r="I210">
        <v>4</v>
      </c>
    </row>
    <row r="211" spans="1:9" x14ac:dyDescent="0.15">
      <c r="A211" t="s">
        <v>40</v>
      </c>
      <c r="B211" t="s">
        <v>52</v>
      </c>
      <c r="C211">
        <v>0</v>
      </c>
      <c r="D211" s="82">
        <v>45871</v>
      </c>
      <c r="E211" s="85">
        <v>0.91736111111111107</v>
      </c>
      <c r="F211">
        <v>0</v>
      </c>
      <c r="G211">
        <v>4</v>
      </c>
      <c r="H211" t="s">
        <v>49</v>
      </c>
      <c r="I211">
        <v>4</v>
      </c>
    </row>
    <row r="212" spans="1:9" x14ac:dyDescent="0.15">
      <c r="A212" t="s">
        <v>40</v>
      </c>
      <c r="B212" t="s">
        <v>52</v>
      </c>
      <c r="C212">
        <v>0</v>
      </c>
      <c r="D212" s="82">
        <v>45871</v>
      </c>
      <c r="E212" s="85">
        <v>0.91805555555555551</v>
      </c>
      <c r="F212">
        <v>0</v>
      </c>
      <c r="G212">
        <v>4</v>
      </c>
      <c r="H212" t="s">
        <v>49</v>
      </c>
      <c r="I212">
        <v>4</v>
      </c>
    </row>
    <row r="213" spans="1:9" x14ac:dyDescent="0.15">
      <c r="A213" t="s">
        <v>40</v>
      </c>
      <c r="B213" t="s">
        <v>52</v>
      </c>
      <c r="C213">
        <v>0</v>
      </c>
      <c r="D213" s="82">
        <v>45871</v>
      </c>
      <c r="E213" s="85">
        <v>0.91874999999999996</v>
      </c>
      <c r="F213">
        <v>0</v>
      </c>
      <c r="G213">
        <v>4</v>
      </c>
      <c r="H213" t="s">
        <v>49</v>
      </c>
      <c r="I213">
        <v>4</v>
      </c>
    </row>
    <row r="214" spans="1:9" x14ac:dyDescent="0.15">
      <c r="A214" t="s">
        <v>40</v>
      </c>
      <c r="B214" t="s">
        <v>52</v>
      </c>
      <c r="C214">
        <v>0</v>
      </c>
      <c r="D214" s="82">
        <v>45871</v>
      </c>
      <c r="E214" s="85">
        <v>0.9194444444444444</v>
      </c>
      <c r="F214">
        <v>0</v>
      </c>
      <c r="G214">
        <v>4</v>
      </c>
      <c r="H214" t="s">
        <v>49</v>
      </c>
      <c r="I214">
        <v>4</v>
      </c>
    </row>
    <row r="215" spans="1:9" x14ac:dyDescent="0.15">
      <c r="A215" t="s">
        <v>40</v>
      </c>
      <c r="B215" t="s">
        <v>52</v>
      </c>
      <c r="C215">
        <v>0</v>
      </c>
      <c r="D215" s="82">
        <v>45871</v>
      </c>
      <c r="E215" s="85">
        <v>0.95833333333333337</v>
      </c>
      <c r="F215">
        <v>1</v>
      </c>
      <c r="G215">
        <v>4</v>
      </c>
      <c r="H215" t="s">
        <v>49</v>
      </c>
      <c r="I215">
        <v>4</v>
      </c>
    </row>
    <row r="216" spans="1:9" x14ac:dyDescent="0.15">
      <c r="A216" t="s">
        <v>40</v>
      </c>
      <c r="B216" t="s">
        <v>52</v>
      </c>
      <c r="C216">
        <v>0</v>
      </c>
      <c r="D216" s="82">
        <v>45871</v>
      </c>
      <c r="E216" s="85">
        <v>0.95902777777777781</v>
      </c>
      <c r="F216">
        <v>0</v>
      </c>
      <c r="G216">
        <v>4</v>
      </c>
      <c r="H216" t="s">
        <v>49</v>
      </c>
      <c r="I216">
        <v>4</v>
      </c>
    </row>
    <row r="217" spans="1:9" x14ac:dyDescent="0.15">
      <c r="A217" t="s">
        <v>40</v>
      </c>
      <c r="B217" t="s">
        <v>52</v>
      </c>
      <c r="C217">
        <v>0</v>
      </c>
      <c r="D217" s="82">
        <v>45871</v>
      </c>
      <c r="E217" s="85">
        <v>0.95972222222222225</v>
      </c>
      <c r="F217">
        <v>0</v>
      </c>
      <c r="G217">
        <v>4</v>
      </c>
      <c r="H217" t="s">
        <v>49</v>
      </c>
      <c r="I217">
        <v>4</v>
      </c>
    </row>
    <row r="218" spans="1:9" x14ac:dyDescent="0.15">
      <c r="A218" t="s">
        <v>40</v>
      </c>
      <c r="B218" t="s">
        <v>52</v>
      </c>
      <c r="C218">
        <v>0</v>
      </c>
      <c r="D218" s="82">
        <v>45871</v>
      </c>
      <c r="E218" s="85">
        <v>0.9604166666666667</v>
      </c>
      <c r="F218">
        <v>0</v>
      </c>
      <c r="G218">
        <v>4</v>
      </c>
      <c r="H218" t="s">
        <v>49</v>
      </c>
      <c r="I218">
        <v>4</v>
      </c>
    </row>
    <row r="219" spans="1:9" x14ac:dyDescent="0.15">
      <c r="A219" t="s">
        <v>40</v>
      </c>
      <c r="B219" t="s">
        <v>52</v>
      </c>
      <c r="C219">
        <v>0</v>
      </c>
      <c r="D219" s="82">
        <v>45871</v>
      </c>
      <c r="E219" s="85">
        <v>0.96111111111111114</v>
      </c>
      <c r="F219">
        <v>0</v>
      </c>
      <c r="G219">
        <v>4</v>
      </c>
      <c r="H219" t="s">
        <v>49</v>
      </c>
      <c r="I219">
        <v>4</v>
      </c>
    </row>
    <row r="220" spans="1:9" x14ac:dyDescent="0.15">
      <c r="A220" t="s">
        <v>40</v>
      </c>
      <c r="B220" t="s">
        <v>52</v>
      </c>
      <c r="C220">
        <v>0</v>
      </c>
      <c r="D220" s="82">
        <v>45872</v>
      </c>
      <c r="E220" s="85">
        <v>0</v>
      </c>
      <c r="F220">
        <v>1</v>
      </c>
      <c r="G220">
        <v>44</v>
      </c>
      <c r="H220" t="s">
        <v>49</v>
      </c>
      <c r="I220">
        <v>4</v>
      </c>
    </row>
    <row r="221" spans="1:9" x14ac:dyDescent="0.15">
      <c r="A221" t="s">
        <v>40</v>
      </c>
      <c r="B221" t="s">
        <v>52</v>
      </c>
      <c r="C221">
        <v>0</v>
      </c>
      <c r="D221" s="82">
        <v>45872</v>
      </c>
      <c r="E221" s="85">
        <v>6.9444444444444447E-4</v>
      </c>
      <c r="F221">
        <v>0</v>
      </c>
      <c r="G221">
        <v>44</v>
      </c>
      <c r="H221" t="s">
        <v>49</v>
      </c>
      <c r="I221">
        <v>4</v>
      </c>
    </row>
    <row r="222" spans="1:9" x14ac:dyDescent="0.15">
      <c r="A222" t="s">
        <v>40</v>
      </c>
      <c r="B222" t="s">
        <v>52</v>
      </c>
      <c r="C222">
        <v>0</v>
      </c>
      <c r="D222" s="82">
        <v>45872</v>
      </c>
      <c r="E222" s="85">
        <v>1.3888888888888889E-3</v>
      </c>
      <c r="F222">
        <v>0</v>
      </c>
      <c r="G222">
        <v>44</v>
      </c>
      <c r="H222" t="s">
        <v>49</v>
      </c>
      <c r="I222">
        <v>4</v>
      </c>
    </row>
    <row r="223" spans="1:9" x14ac:dyDescent="0.15">
      <c r="A223" t="s">
        <v>40</v>
      </c>
      <c r="B223" t="s">
        <v>52</v>
      </c>
      <c r="C223">
        <v>0</v>
      </c>
      <c r="D223" s="82">
        <v>45872</v>
      </c>
      <c r="E223" s="85">
        <v>2.0833333333333333E-3</v>
      </c>
      <c r="F223">
        <v>0</v>
      </c>
      <c r="G223">
        <v>44</v>
      </c>
      <c r="H223" t="s">
        <v>49</v>
      </c>
      <c r="I223">
        <v>4</v>
      </c>
    </row>
    <row r="224" spans="1:9" x14ac:dyDescent="0.15">
      <c r="A224" t="s">
        <v>40</v>
      </c>
      <c r="B224" t="s">
        <v>52</v>
      </c>
      <c r="C224">
        <v>0</v>
      </c>
      <c r="D224" s="82">
        <v>45872</v>
      </c>
      <c r="E224" s="85">
        <v>2.7777777777777779E-3</v>
      </c>
      <c r="F224">
        <v>0</v>
      </c>
      <c r="G224">
        <v>44</v>
      </c>
      <c r="H224" t="s">
        <v>49</v>
      </c>
      <c r="I224">
        <v>4</v>
      </c>
    </row>
    <row r="225" spans="1:9" x14ac:dyDescent="0.15">
      <c r="A225" t="s">
        <v>40</v>
      </c>
      <c r="B225" t="s">
        <v>52</v>
      </c>
      <c r="C225">
        <v>0</v>
      </c>
      <c r="D225" s="82">
        <v>45872</v>
      </c>
      <c r="E225" s="85">
        <v>4.1666666666666664E-2</v>
      </c>
      <c r="F225">
        <v>1</v>
      </c>
      <c r="G225">
        <v>44</v>
      </c>
      <c r="H225" t="s">
        <v>49</v>
      </c>
      <c r="I225">
        <v>4</v>
      </c>
    </row>
    <row r="226" spans="1:9" x14ac:dyDescent="0.15">
      <c r="A226" t="s">
        <v>40</v>
      </c>
      <c r="B226" t="s">
        <v>52</v>
      </c>
      <c r="C226">
        <v>0</v>
      </c>
      <c r="D226" s="82">
        <v>45872</v>
      </c>
      <c r="E226" s="85">
        <v>4.2361111111111113E-2</v>
      </c>
      <c r="F226">
        <v>0</v>
      </c>
      <c r="G226">
        <v>44</v>
      </c>
      <c r="H226" t="s">
        <v>49</v>
      </c>
      <c r="I226">
        <v>4</v>
      </c>
    </row>
    <row r="227" spans="1:9" x14ac:dyDescent="0.15">
      <c r="A227" t="s">
        <v>40</v>
      </c>
      <c r="B227" t="s">
        <v>52</v>
      </c>
      <c r="C227">
        <v>0</v>
      </c>
      <c r="D227" s="82">
        <v>45872</v>
      </c>
      <c r="E227" s="85">
        <v>4.3055555555555555E-2</v>
      </c>
      <c r="F227">
        <v>0</v>
      </c>
      <c r="G227">
        <v>44</v>
      </c>
      <c r="H227" t="s">
        <v>49</v>
      </c>
      <c r="I227">
        <v>4</v>
      </c>
    </row>
    <row r="228" spans="1:9" x14ac:dyDescent="0.15">
      <c r="A228" t="s">
        <v>40</v>
      </c>
      <c r="B228" t="s">
        <v>52</v>
      </c>
      <c r="C228">
        <v>0</v>
      </c>
      <c r="D228" s="82">
        <v>45872</v>
      </c>
      <c r="E228" s="85">
        <v>4.3749999999999997E-2</v>
      </c>
      <c r="F228">
        <v>0</v>
      </c>
      <c r="G228">
        <v>44</v>
      </c>
      <c r="H228" t="s">
        <v>49</v>
      </c>
      <c r="I228">
        <v>4</v>
      </c>
    </row>
    <row r="229" spans="1:9" x14ac:dyDescent="0.15">
      <c r="A229" t="s">
        <v>40</v>
      </c>
      <c r="B229" t="s">
        <v>52</v>
      </c>
      <c r="C229">
        <v>0</v>
      </c>
      <c r="D229" s="82">
        <v>45872</v>
      </c>
      <c r="E229" s="85">
        <v>4.4444444444444446E-2</v>
      </c>
      <c r="F229">
        <v>0</v>
      </c>
      <c r="G229">
        <v>44</v>
      </c>
      <c r="H229" t="s">
        <v>49</v>
      </c>
      <c r="I229">
        <v>4</v>
      </c>
    </row>
    <row r="230" spans="1:9" x14ac:dyDescent="0.15">
      <c r="A230" t="s">
        <v>40</v>
      </c>
      <c r="B230" t="s">
        <v>52</v>
      </c>
      <c r="C230">
        <v>0</v>
      </c>
      <c r="D230" s="82">
        <v>45872</v>
      </c>
      <c r="E230" s="85">
        <v>8.3333333333333329E-2</v>
      </c>
      <c r="F230">
        <v>1</v>
      </c>
      <c r="G230">
        <v>44</v>
      </c>
      <c r="H230" t="s">
        <v>49</v>
      </c>
      <c r="I230">
        <v>4</v>
      </c>
    </row>
    <row r="231" spans="1:9" x14ac:dyDescent="0.15">
      <c r="A231" t="s">
        <v>40</v>
      </c>
      <c r="B231" t="s">
        <v>52</v>
      </c>
      <c r="C231">
        <v>0</v>
      </c>
      <c r="D231" s="82">
        <v>45872</v>
      </c>
      <c r="E231" s="85">
        <v>8.4027777777777785E-2</v>
      </c>
      <c r="F231">
        <v>0</v>
      </c>
      <c r="G231">
        <v>44</v>
      </c>
      <c r="H231" t="s">
        <v>49</v>
      </c>
      <c r="I231">
        <v>4</v>
      </c>
    </row>
    <row r="232" spans="1:9" x14ac:dyDescent="0.15">
      <c r="A232" t="s">
        <v>40</v>
      </c>
      <c r="B232" t="s">
        <v>52</v>
      </c>
      <c r="C232">
        <v>0</v>
      </c>
      <c r="D232" s="82">
        <v>45872</v>
      </c>
      <c r="E232" s="85">
        <v>8.4722222222222227E-2</v>
      </c>
      <c r="F232">
        <v>0</v>
      </c>
      <c r="G232">
        <v>44</v>
      </c>
      <c r="H232" t="s">
        <v>49</v>
      </c>
      <c r="I232">
        <v>4</v>
      </c>
    </row>
    <row r="233" spans="1:9" x14ac:dyDescent="0.15">
      <c r="A233" t="s">
        <v>40</v>
      </c>
      <c r="B233" t="s">
        <v>52</v>
      </c>
      <c r="C233">
        <v>0</v>
      </c>
      <c r="D233" s="82">
        <v>45872</v>
      </c>
      <c r="E233" s="85">
        <v>8.5416666666666669E-2</v>
      </c>
      <c r="F233">
        <v>0</v>
      </c>
      <c r="G233">
        <v>44</v>
      </c>
      <c r="H233" t="s">
        <v>49</v>
      </c>
      <c r="I233">
        <v>4</v>
      </c>
    </row>
    <row r="234" spans="1:9" x14ac:dyDescent="0.15">
      <c r="A234" t="s">
        <v>40</v>
      </c>
      <c r="B234" t="s">
        <v>52</v>
      </c>
      <c r="C234">
        <v>0</v>
      </c>
      <c r="D234" s="82">
        <v>45872</v>
      </c>
      <c r="E234" s="85">
        <v>8.611111111111111E-2</v>
      </c>
      <c r="F234">
        <v>0</v>
      </c>
      <c r="G234">
        <v>44</v>
      </c>
      <c r="H234" t="s">
        <v>49</v>
      </c>
      <c r="I234">
        <v>4</v>
      </c>
    </row>
    <row r="235" spans="1:9" x14ac:dyDescent="0.15">
      <c r="A235" t="s">
        <v>40</v>
      </c>
      <c r="B235" t="s">
        <v>52</v>
      </c>
      <c r="C235">
        <v>0</v>
      </c>
      <c r="D235" s="82">
        <v>45872</v>
      </c>
      <c r="E235" s="85">
        <v>0.125</v>
      </c>
      <c r="F235">
        <v>1</v>
      </c>
      <c r="G235">
        <v>44</v>
      </c>
      <c r="H235" t="s">
        <v>49</v>
      </c>
      <c r="I235">
        <v>4</v>
      </c>
    </row>
    <row r="236" spans="1:9" x14ac:dyDescent="0.15">
      <c r="A236" t="s">
        <v>40</v>
      </c>
      <c r="B236" t="s">
        <v>52</v>
      </c>
      <c r="C236">
        <v>0</v>
      </c>
      <c r="D236" s="82">
        <v>45872</v>
      </c>
      <c r="E236" s="85">
        <v>0.12569444444444444</v>
      </c>
      <c r="F236">
        <v>0</v>
      </c>
      <c r="G236">
        <v>44</v>
      </c>
      <c r="H236" t="s">
        <v>49</v>
      </c>
      <c r="I236">
        <v>4</v>
      </c>
    </row>
    <row r="237" spans="1:9" x14ac:dyDescent="0.15">
      <c r="A237" t="s">
        <v>40</v>
      </c>
      <c r="B237" t="s">
        <v>52</v>
      </c>
      <c r="C237">
        <v>0</v>
      </c>
      <c r="D237" s="82">
        <v>45872</v>
      </c>
      <c r="E237" s="85">
        <v>0.12638888888888888</v>
      </c>
      <c r="F237">
        <v>0</v>
      </c>
      <c r="G237">
        <v>44</v>
      </c>
      <c r="H237" t="s">
        <v>49</v>
      </c>
      <c r="I237">
        <v>4</v>
      </c>
    </row>
    <row r="238" spans="1:9" x14ac:dyDescent="0.15">
      <c r="A238" t="s">
        <v>40</v>
      </c>
      <c r="B238" t="s">
        <v>52</v>
      </c>
      <c r="C238">
        <v>0</v>
      </c>
      <c r="D238" s="82">
        <v>45872</v>
      </c>
      <c r="E238" s="85">
        <v>0.12708333333333333</v>
      </c>
      <c r="F238">
        <v>0</v>
      </c>
      <c r="G238">
        <v>44</v>
      </c>
      <c r="H238" t="s">
        <v>49</v>
      </c>
      <c r="I238">
        <v>4</v>
      </c>
    </row>
    <row r="239" spans="1:9" x14ac:dyDescent="0.15">
      <c r="A239" t="s">
        <v>40</v>
      </c>
      <c r="B239" t="s">
        <v>52</v>
      </c>
      <c r="C239">
        <v>0</v>
      </c>
      <c r="D239" s="82">
        <v>45872</v>
      </c>
      <c r="E239" s="85">
        <v>0.12777777777777777</v>
      </c>
      <c r="F239">
        <v>0</v>
      </c>
      <c r="G239">
        <v>44</v>
      </c>
      <c r="H239" t="s">
        <v>49</v>
      </c>
      <c r="I239">
        <v>4</v>
      </c>
    </row>
    <row r="240" spans="1:9" x14ac:dyDescent="0.15">
      <c r="A240" t="s">
        <v>40</v>
      </c>
      <c r="B240" t="s">
        <v>52</v>
      </c>
      <c r="C240">
        <v>0</v>
      </c>
      <c r="D240" s="82">
        <v>45872</v>
      </c>
      <c r="E240" s="85">
        <v>0.16666666666666666</v>
      </c>
      <c r="F240">
        <v>1</v>
      </c>
      <c r="G240">
        <v>44</v>
      </c>
      <c r="H240" t="s">
        <v>49</v>
      </c>
      <c r="I240">
        <v>4</v>
      </c>
    </row>
    <row r="241" spans="1:9" x14ac:dyDescent="0.15">
      <c r="A241" t="s">
        <v>40</v>
      </c>
      <c r="B241" t="s">
        <v>52</v>
      </c>
      <c r="C241">
        <v>0</v>
      </c>
      <c r="D241" s="82">
        <v>45872</v>
      </c>
      <c r="E241" s="85">
        <v>0.1673611111111111</v>
      </c>
      <c r="F241">
        <v>0</v>
      </c>
      <c r="G241">
        <v>44</v>
      </c>
      <c r="H241" t="s">
        <v>49</v>
      </c>
      <c r="I241">
        <v>4</v>
      </c>
    </row>
    <row r="242" spans="1:9" x14ac:dyDescent="0.15">
      <c r="A242" t="s">
        <v>40</v>
      </c>
      <c r="B242" t="s">
        <v>52</v>
      </c>
      <c r="C242">
        <v>0</v>
      </c>
      <c r="D242" s="82">
        <v>45872</v>
      </c>
      <c r="E242" s="85">
        <v>0.16805555555555557</v>
      </c>
      <c r="F242">
        <v>0</v>
      </c>
      <c r="G242">
        <v>44</v>
      </c>
      <c r="H242" t="s">
        <v>49</v>
      </c>
      <c r="I242">
        <v>4</v>
      </c>
    </row>
    <row r="243" spans="1:9" x14ac:dyDescent="0.15">
      <c r="A243" t="s">
        <v>40</v>
      </c>
      <c r="B243" t="s">
        <v>52</v>
      </c>
      <c r="C243">
        <v>0</v>
      </c>
      <c r="D243" s="82">
        <v>45872</v>
      </c>
      <c r="E243" s="85">
        <v>0.16875000000000001</v>
      </c>
      <c r="F243">
        <v>0</v>
      </c>
      <c r="G243">
        <v>44</v>
      </c>
      <c r="H243" t="s">
        <v>49</v>
      </c>
      <c r="I243">
        <v>4</v>
      </c>
    </row>
    <row r="244" spans="1:9" x14ac:dyDescent="0.15">
      <c r="A244" t="s">
        <v>40</v>
      </c>
      <c r="B244" t="s">
        <v>52</v>
      </c>
      <c r="C244">
        <v>0</v>
      </c>
      <c r="D244" s="82">
        <v>45872</v>
      </c>
      <c r="E244" s="85">
        <v>0.16944444444444445</v>
      </c>
      <c r="F244">
        <v>0</v>
      </c>
      <c r="G244">
        <v>44</v>
      </c>
      <c r="H244" t="s">
        <v>49</v>
      </c>
      <c r="I244">
        <v>4</v>
      </c>
    </row>
    <row r="245" spans="1:9" x14ac:dyDescent="0.15">
      <c r="A245" t="s">
        <v>40</v>
      </c>
      <c r="B245" t="s">
        <v>52</v>
      </c>
      <c r="C245">
        <v>0</v>
      </c>
      <c r="D245" s="82">
        <v>45872</v>
      </c>
      <c r="E245" s="85">
        <v>0.20833333333333334</v>
      </c>
      <c r="F245">
        <v>1</v>
      </c>
      <c r="G245">
        <v>44</v>
      </c>
      <c r="H245" t="s">
        <v>49</v>
      </c>
      <c r="I245">
        <v>4</v>
      </c>
    </row>
    <row r="246" spans="1:9" x14ac:dyDescent="0.15">
      <c r="A246" t="s">
        <v>40</v>
      </c>
      <c r="B246" t="s">
        <v>52</v>
      </c>
      <c r="C246">
        <v>0</v>
      </c>
      <c r="D246" s="82">
        <v>45872</v>
      </c>
      <c r="E246" s="85">
        <v>0.20902777777777778</v>
      </c>
      <c r="F246">
        <v>0</v>
      </c>
      <c r="G246">
        <v>44</v>
      </c>
      <c r="H246" t="s">
        <v>49</v>
      </c>
      <c r="I246">
        <v>4</v>
      </c>
    </row>
    <row r="247" spans="1:9" x14ac:dyDescent="0.15">
      <c r="A247" t="s">
        <v>40</v>
      </c>
      <c r="B247" t="s">
        <v>52</v>
      </c>
      <c r="C247">
        <v>0</v>
      </c>
      <c r="D247" s="82">
        <v>45872</v>
      </c>
      <c r="E247" s="85">
        <v>0.20972222222222223</v>
      </c>
      <c r="F247">
        <v>0</v>
      </c>
      <c r="G247">
        <v>44</v>
      </c>
      <c r="H247" t="s">
        <v>49</v>
      </c>
      <c r="I247">
        <v>4</v>
      </c>
    </row>
    <row r="248" spans="1:9" x14ac:dyDescent="0.15">
      <c r="A248" t="s">
        <v>40</v>
      </c>
      <c r="B248" t="s">
        <v>52</v>
      </c>
      <c r="C248">
        <v>0</v>
      </c>
      <c r="D248" s="82">
        <v>45872</v>
      </c>
      <c r="E248" s="85">
        <v>0.21041666666666667</v>
      </c>
      <c r="F248">
        <v>0</v>
      </c>
      <c r="G248">
        <v>44</v>
      </c>
      <c r="H248" t="s">
        <v>49</v>
      </c>
      <c r="I248">
        <v>4</v>
      </c>
    </row>
    <row r="249" spans="1:9" x14ac:dyDescent="0.15">
      <c r="A249" t="s">
        <v>40</v>
      </c>
      <c r="B249" t="s">
        <v>52</v>
      </c>
      <c r="C249">
        <v>0</v>
      </c>
      <c r="D249" s="82">
        <v>45872</v>
      </c>
      <c r="E249" s="85">
        <v>0.21111111111111111</v>
      </c>
      <c r="F249">
        <v>0</v>
      </c>
      <c r="G249">
        <v>44</v>
      </c>
      <c r="H249" t="s">
        <v>49</v>
      </c>
      <c r="I249">
        <v>4</v>
      </c>
    </row>
    <row r="250" spans="1:9" x14ac:dyDescent="0.15">
      <c r="A250" t="s">
        <v>40</v>
      </c>
      <c r="B250" t="s">
        <v>52</v>
      </c>
      <c r="C250">
        <v>0</v>
      </c>
      <c r="D250" s="82">
        <v>45872</v>
      </c>
      <c r="E250" s="85">
        <v>0.25</v>
      </c>
      <c r="F250">
        <v>1</v>
      </c>
      <c r="G250">
        <v>44</v>
      </c>
      <c r="H250" t="s">
        <v>49</v>
      </c>
      <c r="I250">
        <v>4</v>
      </c>
    </row>
    <row r="251" spans="1:9" x14ac:dyDescent="0.15">
      <c r="A251" t="s">
        <v>40</v>
      </c>
      <c r="B251" t="s">
        <v>52</v>
      </c>
      <c r="C251">
        <v>0</v>
      </c>
      <c r="D251" s="82">
        <v>45872</v>
      </c>
      <c r="E251" s="85">
        <v>0.25069444444444444</v>
      </c>
      <c r="F251">
        <v>0</v>
      </c>
      <c r="G251">
        <v>44</v>
      </c>
      <c r="H251" t="s">
        <v>49</v>
      </c>
      <c r="I251">
        <v>4</v>
      </c>
    </row>
    <row r="252" spans="1:9" x14ac:dyDescent="0.15">
      <c r="A252" t="s">
        <v>40</v>
      </c>
      <c r="B252" t="s">
        <v>52</v>
      </c>
      <c r="C252">
        <v>0</v>
      </c>
      <c r="D252" s="82">
        <v>45872</v>
      </c>
      <c r="E252" s="85">
        <v>0.25138888888888888</v>
      </c>
      <c r="F252">
        <v>0</v>
      </c>
      <c r="G252">
        <v>44</v>
      </c>
      <c r="H252" t="s">
        <v>49</v>
      </c>
      <c r="I252">
        <v>4</v>
      </c>
    </row>
    <row r="253" spans="1:9" x14ac:dyDescent="0.15">
      <c r="A253" t="s">
        <v>40</v>
      </c>
      <c r="B253" t="s">
        <v>52</v>
      </c>
      <c r="C253">
        <v>0</v>
      </c>
      <c r="D253" s="82">
        <v>45872</v>
      </c>
      <c r="E253" s="85">
        <v>0.25208333333333333</v>
      </c>
      <c r="F253">
        <v>0</v>
      </c>
      <c r="G253">
        <v>44</v>
      </c>
      <c r="H253" t="s">
        <v>49</v>
      </c>
      <c r="I253">
        <v>4</v>
      </c>
    </row>
    <row r="254" spans="1:9" x14ac:dyDescent="0.15">
      <c r="A254" t="s">
        <v>40</v>
      </c>
      <c r="B254" t="s">
        <v>52</v>
      </c>
      <c r="C254">
        <v>0</v>
      </c>
      <c r="D254" s="82">
        <v>45872</v>
      </c>
      <c r="E254" s="85">
        <v>0.25277777777777777</v>
      </c>
      <c r="F254">
        <v>0</v>
      </c>
      <c r="G254">
        <v>44</v>
      </c>
      <c r="H254" t="s">
        <v>49</v>
      </c>
      <c r="I254">
        <v>4</v>
      </c>
    </row>
    <row r="255" spans="1:9" x14ac:dyDescent="0.15">
      <c r="A255" t="s">
        <v>40</v>
      </c>
      <c r="B255" t="s">
        <v>52</v>
      </c>
      <c r="C255">
        <v>0</v>
      </c>
      <c r="D255" s="82">
        <v>45872</v>
      </c>
      <c r="E255" s="85">
        <v>0.29305555555555557</v>
      </c>
      <c r="F255">
        <v>1</v>
      </c>
      <c r="G255">
        <v>44</v>
      </c>
      <c r="H255" t="s">
        <v>49</v>
      </c>
      <c r="I255">
        <v>4</v>
      </c>
    </row>
    <row r="256" spans="1:9" x14ac:dyDescent="0.15">
      <c r="A256" t="s">
        <v>40</v>
      </c>
      <c r="B256" t="s">
        <v>52</v>
      </c>
      <c r="C256">
        <v>0</v>
      </c>
      <c r="D256" s="82">
        <v>45872</v>
      </c>
      <c r="E256" s="85">
        <v>0.33611111111111114</v>
      </c>
      <c r="F256">
        <v>1</v>
      </c>
      <c r="G256">
        <v>44</v>
      </c>
      <c r="H256" t="s">
        <v>49</v>
      </c>
      <c r="I256">
        <v>4</v>
      </c>
    </row>
    <row r="257" spans="1:9" x14ac:dyDescent="0.15">
      <c r="A257" t="s">
        <v>40</v>
      </c>
      <c r="B257" t="s">
        <v>52</v>
      </c>
      <c r="C257">
        <v>0</v>
      </c>
      <c r="D257" s="82">
        <v>45872</v>
      </c>
      <c r="E257" s="85">
        <v>0.54374999999999996</v>
      </c>
      <c r="F257">
        <v>1</v>
      </c>
      <c r="G257">
        <v>44</v>
      </c>
      <c r="H257" t="s">
        <v>49</v>
      </c>
      <c r="I257">
        <v>4</v>
      </c>
    </row>
    <row r="258" spans="1:9" x14ac:dyDescent="0.15">
      <c r="A258" t="s">
        <v>40</v>
      </c>
      <c r="B258" t="s">
        <v>52</v>
      </c>
      <c r="C258">
        <v>0</v>
      </c>
      <c r="D258" s="82">
        <v>45872</v>
      </c>
      <c r="E258" s="85">
        <v>0.875</v>
      </c>
      <c r="F258">
        <v>1</v>
      </c>
      <c r="G258">
        <v>44</v>
      </c>
      <c r="H258" t="s">
        <v>49</v>
      </c>
      <c r="I258">
        <v>4</v>
      </c>
    </row>
    <row r="259" spans="1:9" x14ac:dyDescent="0.15">
      <c r="A259" t="s">
        <v>40</v>
      </c>
      <c r="B259" t="s">
        <v>52</v>
      </c>
      <c r="C259">
        <v>0</v>
      </c>
      <c r="D259" s="82">
        <v>45872</v>
      </c>
      <c r="E259" s="85">
        <v>0.87569444444444444</v>
      </c>
      <c r="F259">
        <v>0</v>
      </c>
      <c r="G259">
        <v>44</v>
      </c>
      <c r="H259" t="s">
        <v>49</v>
      </c>
      <c r="I259">
        <v>4</v>
      </c>
    </row>
    <row r="260" spans="1:9" x14ac:dyDescent="0.15">
      <c r="A260" t="s">
        <v>40</v>
      </c>
      <c r="B260" t="s">
        <v>52</v>
      </c>
      <c r="C260">
        <v>0</v>
      </c>
      <c r="D260" s="82">
        <v>45872</v>
      </c>
      <c r="E260" s="85">
        <v>0.87638888888888888</v>
      </c>
      <c r="F260">
        <v>0</v>
      </c>
      <c r="G260">
        <v>44</v>
      </c>
      <c r="H260" t="s">
        <v>49</v>
      </c>
      <c r="I260">
        <v>4</v>
      </c>
    </row>
    <row r="261" spans="1:9" x14ac:dyDescent="0.15">
      <c r="A261" t="s">
        <v>40</v>
      </c>
      <c r="B261" t="s">
        <v>52</v>
      </c>
      <c r="C261">
        <v>0</v>
      </c>
      <c r="D261" s="82">
        <v>45872</v>
      </c>
      <c r="E261" s="85">
        <v>0.87708333333333333</v>
      </c>
      <c r="F261">
        <v>0</v>
      </c>
      <c r="G261">
        <v>44</v>
      </c>
      <c r="H261" t="s">
        <v>49</v>
      </c>
      <c r="I261">
        <v>4</v>
      </c>
    </row>
    <row r="262" spans="1:9" x14ac:dyDescent="0.15">
      <c r="A262" t="s">
        <v>40</v>
      </c>
      <c r="B262" t="s">
        <v>52</v>
      </c>
      <c r="C262">
        <v>0</v>
      </c>
      <c r="D262" s="82">
        <v>45872</v>
      </c>
      <c r="E262" s="85">
        <v>0.87777777777777777</v>
      </c>
      <c r="F262">
        <v>0</v>
      </c>
      <c r="G262">
        <v>44</v>
      </c>
      <c r="H262" t="s">
        <v>49</v>
      </c>
      <c r="I262">
        <v>4</v>
      </c>
    </row>
    <row r="263" spans="1:9" x14ac:dyDescent="0.15">
      <c r="A263" t="s">
        <v>40</v>
      </c>
      <c r="B263" t="s">
        <v>52</v>
      </c>
      <c r="C263">
        <v>0</v>
      </c>
      <c r="D263" s="82">
        <v>45872</v>
      </c>
      <c r="E263" s="85">
        <v>0.91666666666666663</v>
      </c>
      <c r="F263">
        <v>1</v>
      </c>
      <c r="G263">
        <v>44</v>
      </c>
      <c r="H263" t="s">
        <v>49</v>
      </c>
      <c r="I263">
        <v>4</v>
      </c>
    </row>
    <row r="264" spans="1:9" x14ac:dyDescent="0.15">
      <c r="A264" t="s">
        <v>40</v>
      </c>
      <c r="B264" t="s">
        <v>52</v>
      </c>
      <c r="C264">
        <v>0</v>
      </c>
      <c r="D264" s="82">
        <v>45872</v>
      </c>
      <c r="E264" s="85">
        <v>0.91736111111111107</v>
      </c>
      <c r="F264">
        <v>0</v>
      </c>
      <c r="G264">
        <v>44</v>
      </c>
      <c r="H264" t="s">
        <v>49</v>
      </c>
      <c r="I264">
        <v>4</v>
      </c>
    </row>
    <row r="265" spans="1:9" x14ac:dyDescent="0.15">
      <c r="A265" t="s">
        <v>40</v>
      </c>
      <c r="B265" t="s">
        <v>52</v>
      </c>
      <c r="C265">
        <v>0</v>
      </c>
      <c r="D265" s="82">
        <v>45872</v>
      </c>
      <c r="E265" s="85">
        <v>0.91805555555555551</v>
      </c>
      <c r="F265">
        <v>0</v>
      </c>
      <c r="G265">
        <v>44</v>
      </c>
      <c r="H265" t="s">
        <v>49</v>
      </c>
      <c r="I265">
        <v>4</v>
      </c>
    </row>
    <row r="266" spans="1:9" x14ac:dyDescent="0.15">
      <c r="A266" t="s">
        <v>40</v>
      </c>
      <c r="B266" t="s">
        <v>52</v>
      </c>
      <c r="C266">
        <v>0</v>
      </c>
      <c r="D266" s="82">
        <v>45872</v>
      </c>
      <c r="E266" s="85">
        <v>0.91874999999999996</v>
      </c>
      <c r="F266">
        <v>0</v>
      </c>
      <c r="G266">
        <v>44</v>
      </c>
      <c r="H266" t="s">
        <v>49</v>
      </c>
      <c r="I266">
        <v>4</v>
      </c>
    </row>
    <row r="267" spans="1:9" x14ac:dyDescent="0.15">
      <c r="A267" t="s">
        <v>40</v>
      </c>
      <c r="B267" t="s">
        <v>52</v>
      </c>
      <c r="C267">
        <v>0</v>
      </c>
      <c r="D267" s="82">
        <v>45872</v>
      </c>
      <c r="E267" s="85">
        <v>0.9194444444444444</v>
      </c>
      <c r="F267">
        <v>0</v>
      </c>
      <c r="G267">
        <v>44</v>
      </c>
      <c r="H267" t="s">
        <v>49</v>
      </c>
      <c r="I267">
        <v>4</v>
      </c>
    </row>
    <row r="268" spans="1:9" x14ac:dyDescent="0.15">
      <c r="A268" t="s">
        <v>40</v>
      </c>
      <c r="B268" t="s">
        <v>52</v>
      </c>
      <c r="C268">
        <v>0</v>
      </c>
      <c r="D268" s="82">
        <v>45872</v>
      </c>
      <c r="E268" s="85">
        <v>0.95833333333333337</v>
      </c>
      <c r="F268">
        <v>1</v>
      </c>
      <c r="G268">
        <v>44</v>
      </c>
      <c r="H268" t="s">
        <v>49</v>
      </c>
      <c r="I268">
        <v>4</v>
      </c>
    </row>
    <row r="269" spans="1:9" x14ac:dyDescent="0.15">
      <c r="A269" t="s">
        <v>40</v>
      </c>
      <c r="B269" t="s">
        <v>52</v>
      </c>
      <c r="C269">
        <v>0</v>
      </c>
      <c r="D269" s="82">
        <v>45872</v>
      </c>
      <c r="E269" s="85">
        <v>0.95902777777777781</v>
      </c>
      <c r="F269">
        <v>0</v>
      </c>
      <c r="G269">
        <v>44</v>
      </c>
      <c r="H269" t="s">
        <v>49</v>
      </c>
      <c r="I269">
        <v>4</v>
      </c>
    </row>
    <row r="270" spans="1:9" x14ac:dyDescent="0.15">
      <c r="A270" t="s">
        <v>40</v>
      </c>
      <c r="B270" t="s">
        <v>52</v>
      </c>
      <c r="C270">
        <v>0</v>
      </c>
      <c r="D270" s="82">
        <v>45872</v>
      </c>
      <c r="E270" s="85">
        <v>0.95972222222222225</v>
      </c>
      <c r="F270">
        <v>0</v>
      </c>
      <c r="G270">
        <v>44</v>
      </c>
      <c r="H270" t="s">
        <v>49</v>
      </c>
      <c r="I270">
        <v>4</v>
      </c>
    </row>
    <row r="271" spans="1:9" x14ac:dyDescent="0.15">
      <c r="A271" t="s">
        <v>40</v>
      </c>
      <c r="B271" t="s">
        <v>52</v>
      </c>
      <c r="C271">
        <v>0</v>
      </c>
      <c r="D271" s="82">
        <v>45872</v>
      </c>
      <c r="E271" s="85">
        <v>0.9604166666666667</v>
      </c>
      <c r="F271">
        <v>0</v>
      </c>
      <c r="G271">
        <v>44</v>
      </c>
      <c r="H271" t="s">
        <v>49</v>
      </c>
      <c r="I271">
        <v>4</v>
      </c>
    </row>
    <row r="272" spans="1:9" x14ac:dyDescent="0.15">
      <c r="A272" t="s">
        <v>40</v>
      </c>
      <c r="B272" t="s">
        <v>52</v>
      </c>
      <c r="C272">
        <v>0</v>
      </c>
      <c r="D272" s="82">
        <v>45872</v>
      </c>
      <c r="E272" s="85">
        <v>0.96111111111111114</v>
      </c>
      <c r="F272">
        <v>0</v>
      </c>
      <c r="G272">
        <v>44</v>
      </c>
      <c r="H272" t="s">
        <v>49</v>
      </c>
      <c r="I272">
        <v>4</v>
      </c>
    </row>
    <row r="273" spans="1:9" x14ac:dyDescent="0.15">
      <c r="A273" t="s">
        <v>40</v>
      </c>
      <c r="B273" t="s">
        <v>52</v>
      </c>
      <c r="C273">
        <v>0</v>
      </c>
      <c r="D273" s="82">
        <v>45873</v>
      </c>
      <c r="E273" s="85">
        <v>0</v>
      </c>
      <c r="F273">
        <v>1</v>
      </c>
      <c r="G273">
        <v>53</v>
      </c>
      <c r="H273" t="s">
        <v>49</v>
      </c>
      <c r="I273">
        <v>4</v>
      </c>
    </row>
    <row r="274" spans="1:9" x14ac:dyDescent="0.15">
      <c r="A274" t="s">
        <v>40</v>
      </c>
      <c r="B274" t="s">
        <v>52</v>
      </c>
      <c r="C274">
        <v>0</v>
      </c>
      <c r="D274" s="82">
        <v>45873</v>
      </c>
      <c r="E274" s="85">
        <v>6.9444444444444447E-4</v>
      </c>
      <c r="F274">
        <v>0</v>
      </c>
      <c r="G274">
        <v>53</v>
      </c>
      <c r="H274" t="s">
        <v>49</v>
      </c>
      <c r="I274">
        <v>4</v>
      </c>
    </row>
    <row r="275" spans="1:9" x14ac:dyDescent="0.15">
      <c r="A275" t="s">
        <v>40</v>
      </c>
      <c r="B275" t="s">
        <v>52</v>
      </c>
      <c r="C275">
        <v>0</v>
      </c>
      <c r="D275" s="82">
        <v>45873</v>
      </c>
      <c r="E275" s="85">
        <v>1.3888888888888889E-3</v>
      </c>
      <c r="F275">
        <v>0</v>
      </c>
      <c r="G275">
        <v>53</v>
      </c>
      <c r="H275" t="s">
        <v>49</v>
      </c>
      <c r="I275">
        <v>4</v>
      </c>
    </row>
    <row r="276" spans="1:9" x14ac:dyDescent="0.15">
      <c r="A276" t="s">
        <v>40</v>
      </c>
      <c r="B276" t="s">
        <v>52</v>
      </c>
      <c r="C276">
        <v>0</v>
      </c>
      <c r="D276" s="82">
        <v>45873</v>
      </c>
      <c r="E276" s="85">
        <v>2.0833333333333333E-3</v>
      </c>
      <c r="F276">
        <v>0</v>
      </c>
      <c r="G276">
        <v>53</v>
      </c>
      <c r="H276" t="s">
        <v>49</v>
      </c>
      <c r="I276">
        <v>4</v>
      </c>
    </row>
    <row r="277" spans="1:9" x14ac:dyDescent="0.15">
      <c r="A277" t="s">
        <v>40</v>
      </c>
      <c r="B277" t="s">
        <v>52</v>
      </c>
      <c r="C277">
        <v>0</v>
      </c>
      <c r="D277" s="82">
        <v>45873</v>
      </c>
      <c r="E277" s="85">
        <v>2.7777777777777779E-3</v>
      </c>
      <c r="F277">
        <v>0</v>
      </c>
      <c r="G277">
        <v>53</v>
      </c>
      <c r="H277" t="s">
        <v>49</v>
      </c>
      <c r="I277">
        <v>4</v>
      </c>
    </row>
    <row r="278" spans="1:9" x14ac:dyDescent="0.15">
      <c r="A278" t="s">
        <v>40</v>
      </c>
      <c r="B278" t="s">
        <v>52</v>
      </c>
      <c r="C278">
        <v>0</v>
      </c>
      <c r="D278" s="82">
        <v>45873</v>
      </c>
      <c r="E278" s="85">
        <v>4.1666666666666664E-2</v>
      </c>
      <c r="F278">
        <v>1</v>
      </c>
      <c r="G278">
        <v>53</v>
      </c>
      <c r="H278" t="s">
        <v>49</v>
      </c>
      <c r="I278">
        <v>4</v>
      </c>
    </row>
    <row r="279" spans="1:9" x14ac:dyDescent="0.15">
      <c r="A279" t="s">
        <v>40</v>
      </c>
      <c r="B279" t="s">
        <v>52</v>
      </c>
      <c r="C279">
        <v>0</v>
      </c>
      <c r="D279" s="82">
        <v>45873</v>
      </c>
      <c r="E279" s="85">
        <v>4.2361111111111113E-2</v>
      </c>
      <c r="F279">
        <v>0</v>
      </c>
      <c r="G279">
        <v>53</v>
      </c>
      <c r="H279" t="s">
        <v>49</v>
      </c>
      <c r="I279">
        <v>4</v>
      </c>
    </row>
    <row r="280" spans="1:9" x14ac:dyDescent="0.15">
      <c r="A280" t="s">
        <v>40</v>
      </c>
      <c r="B280" t="s">
        <v>52</v>
      </c>
      <c r="C280">
        <v>0</v>
      </c>
      <c r="D280" s="82">
        <v>45873</v>
      </c>
      <c r="E280" s="85">
        <v>4.3055555555555555E-2</v>
      </c>
      <c r="F280">
        <v>0</v>
      </c>
      <c r="G280">
        <v>53</v>
      </c>
      <c r="H280" t="s">
        <v>49</v>
      </c>
      <c r="I280">
        <v>4</v>
      </c>
    </row>
    <row r="281" spans="1:9" x14ac:dyDescent="0.15">
      <c r="A281" t="s">
        <v>40</v>
      </c>
      <c r="B281" t="s">
        <v>52</v>
      </c>
      <c r="C281">
        <v>0</v>
      </c>
      <c r="D281" s="82">
        <v>45873</v>
      </c>
      <c r="E281" s="85">
        <v>4.3749999999999997E-2</v>
      </c>
      <c r="F281">
        <v>0</v>
      </c>
      <c r="G281">
        <v>53</v>
      </c>
      <c r="H281" t="s">
        <v>49</v>
      </c>
      <c r="I281">
        <v>4</v>
      </c>
    </row>
    <row r="282" spans="1:9" x14ac:dyDescent="0.15">
      <c r="A282" t="s">
        <v>40</v>
      </c>
      <c r="B282" t="s">
        <v>52</v>
      </c>
      <c r="C282">
        <v>0</v>
      </c>
      <c r="D282" s="82">
        <v>45873</v>
      </c>
      <c r="E282" s="85">
        <v>4.4444444444444446E-2</v>
      </c>
      <c r="F282">
        <v>0</v>
      </c>
      <c r="G282">
        <v>53</v>
      </c>
      <c r="H282" t="s">
        <v>49</v>
      </c>
      <c r="I282">
        <v>4</v>
      </c>
    </row>
    <row r="283" spans="1:9" x14ac:dyDescent="0.15">
      <c r="A283" t="s">
        <v>40</v>
      </c>
      <c r="B283" t="s">
        <v>52</v>
      </c>
      <c r="C283">
        <v>0</v>
      </c>
      <c r="D283" s="82">
        <v>45873</v>
      </c>
      <c r="E283" s="85">
        <v>8.3333333333333329E-2</v>
      </c>
      <c r="F283">
        <v>1</v>
      </c>
      <c r="G283">
        <v>53</v>
      </c>
      <c r="H283" t="s">
        <v>49</v>
      </c>
      <c r="I283">
        <v>4</v>
      </c>
    </row>
    <row r="284" spans="1:9" x14ac:dyDescent="0.15">
      <c r="A284" t="s">
        <v>40</v>
      </c>
      <c r="B284" t="s">
        <v>52</v>
      </c>
      <c r="C284">
        <v>0</v>
      </c>
      <c r="D284" s="82">
        <v>45873</v>
      </c>
      <c r="E284" s="85">
        <v>8.4027777777777785E-2</v>
      </c>
      <c r="F284">
        <v>0</v>
      </c>
      <c r="G284">
        <v>53</v>
      </c>
      <c r="H284" t="s">
        <v>49</v>
      </c>
      <c r="I284">
        <v>4</v>
      </c>
    </row>
    <row r="285" spans="1:9" x14ac:dyDescent="0.15">
      <c r="A285" t="s">
        <v>40</v>
      </c>
      <c r="B285" t="s">
        <v>52</v>
      </c>
      <c r="C285">
        <v>0</v>
      </c>
      <c r="D285" s="82">
        <v>45873</v>
      </c>
      <c r="E285" s="85">
        <v>8.4722222222222227E-2</v>
      </c>
      <c r="F285">
        <v>0</v>
      </c>
      <c r="G285">
        <v>53</v>
      </c>
      <c r="H285" t="s">
        <v>49</v>
      </c>
      <c r="I285">
        <v>4</v>
      </c>
    </row>
    <row r="286" spans="1:9" x14ac:dyDescent="0.15">
      <c r="A286" t="s">
        <v>40</v>
      </c>
      <c r="B286" t="s">
        <v>52</v>
      </c>
      <c r="C286">
        <v>0</v>
      </c>
      <c r="D286" s="82">
        <v>45873</v>
      </c>
      <c r="E286" s="85">
        <v>8.5416666666666669E-2</v>
      </c>
      <c r="F286">
        <v>0</v>
      </c>
      <c r="G286">
        <v>53</v>
      </c>
      <c r="H286" t="s">
        <v>49</v>
      </c>
      <c r="I286">
        <v>4</v>
      </c>
    </row>
    <row r="287" spans="1:9" x14ac:dyDescent="0.15">
      <c r="A287" t="s">
        <v>40</v>
      </c>
      <c r="B287" t="s">
        <v>52</v>
      </c>
      <c r="C287">
        <v>0</v>
      </c>
      <c r="D287" s="82">
        <v>45873</v>
      </c>
      <c r="E287" s="85">
        <v>8.611111111111111E-2</v>
      </c>
      <c r="F287">
        <v>0</v>
      </c>
      <c r="G287">
        <v>53</v>
      </c>
      <c r="H287" t="s">
        <v>49</v>
      </c>
      <c r="I287">
        <v>4</v>
      </c>
    </row>
    <row r="288" spans="1:9" x14ac:dyDescent="0.15">
      <c r="A288" t="s">
        <v>40</v>
      </c>
      <c r="B288" t="s">
        <v>52</v>
      </c>
      <c r="C288">
        <v>0</v>
      </c>
      <c r="D288" s="82">
        <v>45873</v>
      </c>
      <c r="E288" s="85">
        <v>0.125</v>
      </c>
      <c r="F288">
        <v>1</v>
      </c>
      <c r="G288">
        <v>53</v>
      </c>
      <c r="H288" t="s">
        <v>49</v>
      </c>
      <c r="I288">
        <v>4</v>
      </c>
    </row>
    <row r="289" spans="1:9" x14ac:dyDescent="0.15">
      <c r="A289" t="s">
        <v>40</v>
      </c>
      <c r="B289" t="s">
        <v>52</v>
      </c>
      <c r="C289">
        <v>0</v>
      </c>
      <c r="D289" s="82">
        <v>45873</v>
      </c>
      <c r="E289" s="85">
        <v>0.12569444444444444</v>
      </c>
      <c r="F289">
        <v>0</v>
      </c>
      <c r="G289">
        <v>53</v>
      </c>
      <c r="H289" t="s">
        <v>49</v>
      </c>
      <c r="I289">
        <v>4</v>
      </c>
    </row>
    <row r="290" spans="1:9" x14ac:dyDescent="0.15">
      <c r="A290" t="s">
        <v>40</v>
      </c>
      <c r="B290" t="s">
        <v>52</v>
      </c>
      <c r="C290">
        <v>0</v>
      </c>
      <c r="D290" s="82">
        <v>45873</v>
      </c>
      <c r="E290" s="85">
        <v>0.12638888888888888</v>
      </c>
      <c r="F290">
        <v>0</v>
      </c>
      <c r="G290">
        <v>53</v>
      </c>
      <c r="H290" t="s">
        <v>49</v>
      </c>
      <c r="I290">
        <v>4</v>
      </c>
    </row>
    <row r="291" spans="1:9" x14ac:dyDescent="0.15">
      <c r="A291" t="s">
        <v>40</v>
      </c>
      <c r="B291" t="s">
        <v>52</v>
      </c>
      <c r="C291">
        <v>0</v>
      </c>
      <c r="D291" s="82">
        <v>45873</v>
      </c>
      <c r="E291" s="85">
        <v>0.12708333333333333</v>
      </c>
      <c r="F291">
        <v>0</v>
      </c>
      <c r="G291">
        <v>53</v>
      </c>
      <c r="H291" t="s">
        <v>49</v>
      </c>
      <c r="I291">
        <v>4</v>
      </c>
    </row>
    <row r="292" spans="1:9" x14ac:dyDescent="0.15">
      <c r="A292" t="s">
        <v>40</v>
      </c>
      <c r="B292" t="s">
        <v>52</v>
      </c>
      <c r="C292">
        <v>0</v>
      </c>
      <c r="D292" s="82">
        <v>45873</v>
      </c>
      <c r="E292" s="85">
        <v>0.12777777777777777</v>
      </c>
      <c r="F292">
        <v>0</v>
      </c>
      <c r="G292">
        <v>53</v>
      </c>
      <c r="H292" t="s">
        <v>49</v>
      </c>
      <c r="I292">
        <v>4</v>
      </c>
    </row>
    <row r="293" spans="1:9" x14ac:dyDescent="0.15">
      <c r="A293" t="s">
        <v>40</v>
      </c>
      <c r="B293" t="s">
        <v>52</v>
      </c>
      <c r="C293">
        <v>0</v>
      </c>
      <c r="D293" s="82">
        <v>45873</v>
      </c>
      <c r="E293" s="85">
        <v>0.16666666666666666</v>
      </c>
      <c r="F293">
        <v>1</v>
      </c>
      <c r="G293">
        <v>53</v>
      </c>
      <c r="H293" t="s">
        <v>49</v>
      </c>
      <c r="I293">
        <v>4</v>
      </c>
    </row>
    <row r="294" spans="1:9" x14ac:dyDescent="0.15">
      <c r="A294" t="s">
        <v>40</v>
      </c>
      <c r="B294" t="s">
        <v>52</v>
      </c>
      <c r="C294">
        <v>0</v>
      </c>
      <c r="D294" s="82">
        <v>45873</v>
      </c>
      <c r="E294" s="85">
        <v>0.1673611111111111</v>
      </c>
      <c r="F294">
        <v>0</v>
      </c>
      <c r="G294">
        <v>53</v>
      </c>
      <c r="H294" t="s">
        <v>49</v>
      </c>
      <c r="I294">
        <v>4</v>
      </c>
    </row>
    <row r="295" spans="1:9" x14ac:dyDescent="0.15">
      <c r="A295" t="s">
        <v>40</v>
      </c>
      <c r="B295" t="s">
        <v>52</v>
      </c>
      <c r="C295">
        <v>0</v>
      </c>
      <c r="D295" s="82">
        <v>45873</v>
      </c>
      <c r="E295" s="85">
        <v>0.16805555555555557</v>
      </c>
      <c r="F295">
        <v>0</v>
      </c>
      <c r="G295">
        <v>53</v>
      </c>
      <c r="H295" t="s">
        <v>49</v>
      </c>
      <c r="I295">
        <v>4</v>
      </c>
    </row>
    <row r="296" spans="1:9" x14ac:dyDescent="0.15">
      <c r="A296" t="s">
        <v>40</v>
      </c>
      <c r="B296" t="s">
        <v>52</v>
      </c>
      <c r="C296">
        <v>0</v>
      </c>
      <c r="D296" s="82">
        <v>45873</v>
      </c>
      <c r="E296" s="85">
        <v>0.16875000000000001</v>
      </c>
      <c r="F296">
        <v>0</v>
      </c>
      <c r="G296">
        <v>53</v>
      </c>
      <c r="H296" t="s">
        <v>49</v>
      </c>
      <c r="I296">
        <v>4</v>
      </c>
    </row>
    <row r="297" spans="1:9" x14ac:dyDescent="0.15">
      <c r="A297" t="s">
        <v>40</v>
      </c>
      <c r="B297" t="s">
        <v>52</v>
      </c>
      <c r="C297">
        <v>0</v>
      </c>
      <c r="D297" s="82">
        <v>45873</v>
      </c>
      <c r="E297" s="85">
        <v>0.16944444444444445</v>
      </c>
      <c r="F297">
        <v>0</v>
      </c>
      <c r="G297">
        <v>53</v>
      </c>
      <c r="H297" t="s">
        <v>49</v>
      </c>
      <c r="I297">
        <v>4</v>
      </c>
    </row>
    <row r="298" spans="1:9" x14ac:dyDescent="0.15">
      <c r="A298" t="s">
        <v>40</v>
      </c>
      <c r="B298" t="s">
        <v>52</v>
      </c>
      <c r="C298">
        <v>0</v>
      </c>
      <c r="D298" s="82">
        <v>45873</v>
      </c>
      <c r="E298" s="85">
        <v>0.20833333333333334</v>
      </c>
      <c r="F298">
        <v>1</v>
      </c>
      <c r="G298">
        <v>53</v>
      </c>
      <c r="H298" t="s">
        <v>49</v>
      </c>
      <c r="I298">
        <v>4</v>
      </c>
    </row>
    <row r="299" spans="1:9" x14ac:dyDescent="0.15">
      <c r="A299" t="s">
        <v>40</v>
      </c>
      <c r="B299" t="s">
        <v>52</v>
      </c>
      <c r="C299">
        <v>0</v>
      </c>
      <c r="D299" s="82">
        <v>45873</v>
      </c>
      <c r="E299" s="85">
        <v>0.20902777777777778</v>
      </c>
      <c r="F299">
        <v>0</v>
      </c>
      <c r="G299">
        <v>53</v>
      </c>
      <c r="H299" t="s">
        <v>49</v>
      </c>
      <c r="I299">
        <v>4</v>
      </c>
    </row>
    <row r="300" spans="1:9" x14ac:dyDescent="0.15">
      <c r="A300" t="s">
        <v>40</v>
      </c>
      <c r="B300" t="s">
        <v>52</v>
      </c>
      <c r="C300">
        <v>0</v>
      </c>
      <c r="D300" s="82">
        <v>45873</v>
      </c>
      <c r="E300" s="85">
        <v>0.20972222222222223</v>
      </c>
      <c r="F300">
        <v>0</v>
      </c>
      <c r="G300">
        <v>53</v>
      </c>
      <c r="H300" t="s">
        <v>49</v>
      </c>
      <c r="I300">
        <v>4</v>
      </c>
    </row>
    <row r="301" spans="1:9" x14ac:dyDescent="0.15">
      <c r="A301" t="s">
        <v>40</v>
      </c>
      <c r="B301" t="s">
        <v>52</v>
      </c>
      <c r="C301">
        <v>0</v>
      </c>
      <c r="D301" s="82">
        <v>45873</v>
      </c>
      <c r="E301" s="85">
        <v>0.21041666666666667</v>
      </c>
      <c r="F301">
        <v>0</v>
      </c>
      <c r="G301">
        <v>53</v>
      </c>
      <c r="H301" t="s">
        <v>49</v>
      </c>
      <c r="I301">
        <v>4</v>
      </c>
    </row>
    <row r="302" spans="1:9" x14ac:dyDescent="0.15">
      <c r="A302" t="s">
        <v>40</v>
      </c>
      <c r="B302" t="s">
        <v>52</v>
      </c>
      <c r="C302">
        <v>0</v>
      </c>
      <c r="D302" s="82">
        <v>45873</v>
      </c>
      <c r="E302" s="85">
        <v>0.21111111111111111</v>
      </c>
      <c r="F302">
        <v>0</v>
      </c>
      <c r="G302">
        <v>53</v>
      </c>
      <c r="H302" t="s">
        <v>49</v>
      </c>
      <c r="I302">
        <v>4</v>
      </c>
    </row>
    <row r="303" spans="1:9" x14ac:dyDescent="0.15">
      <c r="A303" t="s">
        <v>40</v>
      </c>
      <c r="B303" t="s">
        <v>52</v>
      </c>
      <c r="C303">
        <v>0</v>
      </c>
      <c r="D303" s="82">
        <v>45873</v>
      </c>
      <c r="E303" s="85">
        <v>0.25</v>
      </c>
      <c r="F303">
        <v>1</v>
      </c>
      <c r="G303">
        <v>53</v>
      </c>
      <c r="H303" t="s">
        <v>49</v>
      </c>
      <c r="I303">
        <v>4</v>
      </c>
    </row>
    <row r="304" spans="1:9" x14ac:dyDescent="0.15">
      <c r="A304" t="s">
        <v>40</v>
      </c>
      <c r="B304" t="s">
        <v>52</v>
      </c>
      <c r="C304">
        <v>0</v>
      </c>
      <c r="D304" s="82">
        <v>45873</v>
      </c>
      <c r="E304" s="85">
        <v>0.25069444444444444</v>
      </c>
      <c r="F304">
        <v>0</v>
      </c>
      <c r="G304">
        <v>53</v>
      </c>
      <c r="H304" t="s">
        <v>49</v>
      </c>
      <c r="I304">
        <v>4</v>
      </c>
    </row>
    <row r="305" spans="1:9" x14ac:dyDescent="0.15">
      <c r="A305" t="s">
        <v>40</v>
      </c>
      <c r="B305" t="s">
        <v>52</v>
      </c>
      <c r="C305">
        <v>0</v>
      </c>
      <c r="D305" s="82">
        <v>45873</v>
      </c>
      <c r="E305" s="85">
        <v>0.25138888888888888</v>
      </c>
      <c r="F305">
        <v>0</v>
      </c>
      <c r="G305">
        <v>53</v>
      </c>
      <c r="H305" t="s">
        <v>49</v>
      </c>
      <c r="I305">
        <v>4</v>
      </c>
    </row>
    <row r="306" spans="1:9" x14ac:dyDescent="0.15">
      <c r="A306" t="s">
        <v>40</v>
      </c>
      <c r="B306" t="s">
        <v>52</v>
      </c>
      <c r="C306">
        <v>0</v>
      </c>
      <c r="D306" s="82">
        <v>45873</v>
      </c>
      <c r="E306" s="85">
        <v>0.25208333333333333</v>
      </c>
      <c r="F306">
        <v>0</v>
      </c>
      <c r="G306">
        <v>53</v>
      </c>
      <c r="H306" t="s">
        <v>49</v>
      </c>
      <c r="I306">
        <v>4</v>
      </c>
    </row>
    <row r="307" spans="1:9" x14ac:dyDescent="0.15">
      <c r="A307" t="s">
        <v>40</v>
      </c>
      <c r="B307" t="s">
        <v>52</v>
      </c>
      <c r="C307">
        <v>0</v>
      </c>
      <c r="D307" s="82">
        <v>45873</v>
      </c>
      <c r="E307" s="85">
        <v>0.25277777777777777</v>
      </c>
      <c r="F307">
        <v>0</v>
      </c>
      <c r="G307">
        <v>53</v>
      </c>
      <c r="H307" t="s">
        <v>49</v>
      </c>
      <c r="I307">
        <v>4</v>
      </c>
    </row>
    <row r="308" spans="1:9" x14ac:dyDescent="0.15">
      <c r="A308" t="s">
        <v>40</v>
      </c>
      <c r="B308" t="s">
        <v>52</v>
      </c>
      <c r="C308">
        <v>0</v>
      </c>
      <c r="D308" s="82">
        <v>45873</v>
      </c>
      <c r="E308" s="85">
        <v>0.29166666666666669</v>
      </c>
      <c r="F308">
        <v>1</v>
      </c>
      <c r="G308">
        <v>53</v>
      </c>
      <c r="H308" t="s">
        <v>49</v>
      </c>
      <c r="I308">
        <v>4</v>
      </c>
    </row>
    <row r="309" spans="1:9" x14ac:dyDescent="0.15">
      <c r="A309" t="s">
        <v>40</v>
      </c>
      <c r="B309" t="s">
        <v>52</v>
      </c>
      <c r="C309">
        <v>0</v>
      </c>
      <c r="D309" s="82">
        <v>45873</v>
      </c>
      <c r="E309" s="85">
        <v>0.29236111111111113</v>
      </c>
      <c r="F309">
        <v>0</v>
      </c>
      <c r="G309">
        <v>53</v>
      </c>
      <c r="H309" t="s">
        <v>49</v>
      </c>
      <c r="I309">
        <v>4</v>
      </c>
    </row>
    <row r="310" spans="1:9" x14ac:dyDescent="0.15">
      <c r="A310" t="s">
        <v>40</v>
      </c>
      <c r="B310" t="s">
        <v>52</v>
      </c>
      <c r="C310">
        <v>0</v>
      </c>
      <c r="D310" s="82">
        <v>45873</v>
      </c>
      <c r="E310" s="85">
        <v>0.29305555555555557</v>
      </c>
      <c r="F310">
        <v>0</v>
      </c>
      <c r="G310">
        <v>53</v>
      </c>
      <c r="H310" t="s">
        <v>49</v>
      </c>
      <c r="I310">
        <v>4</v>
      </c>
    </row>
    <row r="311" spans="1:9" x14ac:dyDescent="0.15">
      <c r="A311" t="s">
        <v>40</v>
      </c>
      <c r="B311" t="s">
        <v>52</v>
      </c>
      <c r="C311">
        <v>0</v>
      </c>
      <c r="D311" s="82">
        <v>45873</v>
      </c>
      <c r="E311" s="85">
        <v>0.29375000000000001</v>
      </c>
      <c r="F311">
        <v>0</v>
      </c>
      <c r="G311">
        <v>53</v>
      </c>
      <c r="H311" t="s">
        <v>49</v>
      </c>
      <c r="I311">
        <v>4</v>
      </c>
    </row>
    <row r="312" spans="1:9" x14ac:dyDescent="0.15">
      <c r="A312" t="s">
        <v>40</v>
      </c>
      <c r="B312" t="s">
        <v>52</v>
      </c>
      <c r="C312">
        <v>0</v>
      </c>
      <c r="D312" s="82">
        <v>45873</v>
      </c>
      <c r="E312" s="85">
        <v>0.29444444444444445</v>
      </c>
      <c r="F312">
        <v>0</v>
      </c>
      <c r="G312">
        <v>53</v>
      </c>
      <c r="H312" t="s">
        <v>49</v>
      </c>
      <c r="I312">
        <v>4</v>
      </c>
    </row>
    <row r="313" spans="1:9" x14ac:dyDescent="0.15">
      <c r="A313" t="s">
        <v>40</v>
      </c>
      <c r="B313" t="s">
        <v>52</v>
      </c>
      <c r="C313">
        <v>0</v>
      </c>
      <c r="D313" s="82">
        <v>45873</v>
      </c>
      <c r="E313" s="85">
        <v>0.33333333333333331</v>
      </c>
      <c r="F313">
        <v>1</v>
      </c>
      <c r="G313">
        <v>53</v>
      </c>
      <c r="H313" t="s">
        <v>49</v>
      </c>
      <c r="I313">
        <v>4</v>
      </c>
    </row>
    <row r="314" spans="1:9" x14ac:dyDescent="0.15">
      <c r="A314" t="s">
        <v>40</v>
      </c>
      <c r="B314" t="s">
        <v>52</v>
      </c>
      <c r="C314">
        <v>0</v>
      </c>
      <c r="D314" s="82">
        <v>45873</v>
      </c>
      <c r="E314" s="85">
        <v>0.33402777777777776</v>
      </c>
      <c r="F314">
        <v>0</v>
      </c>
      <c r="G314">
        <v>53</v>
      </c>
      <c r="H314" t="s">
        <v>49</v>
      </c>
      <c r="I314">
        <v>4</v>
      </c>
    </row>
    <row r="315" spans="1:9" x14ac:dyDescent="0.15">
      <c r="A315" t="s">
        <v>40</v>
      </c>
      <c r="B315" t="s">
        <v>52</v>
      </c>
      <c r="C315">
        <v>0</v>
      </c>
      <c r="D315" s="82">
        <v>45873</v>
      </c>
      <c r="E315" s="85">
        <v>0.33611111111111114</v>
      </c>
      <c r="F315">
        <v>0</v>
      </c>
      <c r="G315">
        <v>53</v>
      </c>
      <c r="H315" t="s">
        <v>49</v>
      </c>
      <c r="I315">
        <v>4</v>
      </c>
    </row>
    <row r="316" spans="1:9" x14ac:dyDescent="0.15">
      <c r="A316" t="s">
        <v>40</v>
      </c>
      <c r="B316" t="s">
        <v>52</v>
      </c>
      <c r="C316">
        <v>0</v>
      </c>
      <c r="D316" s="82">
        <v>45873</v>
      </c>
      <c r="E316" s="85">
        <v>0.375</v>
      </c>
      <c r="F316">
        <v>1</v>
      </c>
      <c r="G316">
        <v>53</v>
      </c>
      <c r="H316" t="s">
        <v>49</v>
      </c>
      <c r="I316">
        <v>4</v>
      </c>
    </row>
    <row r="317" spans="1:9" x14ac:dyDescent="0.15">
      <c r="A317" t="s">
        <v>40</v>
      </c>
      <c r="B317" t="s">
        <v>52</v>
      </c>
      <c r="C317">
        <v>0</v>
      </c>
      <c r="D317" s="82">
        <v>45873</v>
      </c>
      <c r="E317" s="85">
        <v>0.37569444444444444</v>
      </c>
      <c r="F317">
        <v>0</v>
      </c>
      <c r="G317">
        <v>53</v>
      </c>
      <c r="H317" t="s">
        <v>49</v>
      </c>
      <c r="I317">
        <v>4</v>
      </c>
    </row>
    <row r="318" spans="1:9" x14ac:dyDescent="0.15">
      <c r="A318" t="s">
        <v>40</v>
      </c>
      <c r="B318" t="s">
        <v>52</v>
      </c>
      <c r="C318">
        <v>0</v>
      </c>
      <c r="D318" s="82">
        <v>45873</v>
      </c>
      <c r="E318" s="85">
        <v>0.37708333333333333</v>
      </c>
      <c r="F318">
        <v>0</v>
      </c>
      <c r="G318">
        <v>53</v>
      </c>
      <c r="H318" t="s">
        <v>49</v>
      </c>
      <c r="I318">
        <v>4</v>
      </c>
    </row>
    <row r="319" spans="1:9" x14ac:dyDescent="0.15">
      <c r="A319" t="s">
        <v>40</v>
      </c>
      <c r="B319" t="s">
        <v>52</v>
      </c>
      <c r="C319">
        <v>0</v>
      </c>
      <c r="D319" s="82">
        <v>45873</v>
      </c>
      <c r="E319" s="85">
        <v>0.37777777777777777</v>
      </c>
      <c r="F319">
        <v>0</v>
      </c>
      <c r="G319">
        <v>53</v>
      </c>
      <c r="H319" t="s">
        <v>49</v>
      </c>
      <c r="I319">
        <v>4</v>
      </c>
    </row>
    <row r="320" spans="1:9" x14ac:dyDescent="0.15">
      <c r="A320" t="s">
        <v>40</v>
      </c>
      <c r="B320" t="s">
        <v>52</v>
      </c>
      <c r="C320">
        <v>0</v>
      </c>
      <c r="D320" s="82">
        <v>45873</v>
      </c>
      <c r="E320" s="85">
        <v>0.41666666666666669</v>
      </c>
      <c r="F320">
        <v>1</v>
      </c>
      <c r="G320">
        <v>53</v>
      </c>
      <c r="H320" t="s">
        <v>49</v>
      </c>
      <c r="I320">
        <v>4</v>
      </c>
    </row>
    <row r="321" spans="1:9" x14ac:dyDescent="0.15">
      <c r="A321" t="s">
        <v>40</v>
      </c>
      <c r="B321" t="s">
        <v>52</v>
      </c>
      <c r="C321">
        <v>0</v>
      </c>
      <c r="D321" s="82">
        <v>45873</v>
      </c>
      <c r="E321" s="85">
        <v>0.41736111111111113</v>
      </c>
      <c r="F321">
        <v>0</v>
      </c>
      <c r="G321">
        <v>53</v>
      </c>
      <c r="H321" t="s">
        <v>49</v>
      </c>
      <c r="I321">
        <v>4</v>
      </c>
    </row>
    <row r="322" spans="1:9" x14ac:dyDescent="0.15">
      <c r="A322" t="s">
        <v>40</v>
      </c>
      <c r="B322" t="s">
        <v>52</v>
      </c>
      <c r="C322">
        <v>0</v>
      </c>
      <c r="D322" s="82">
        <v>45873</v>
      </c>
      <c r="E322" s="85">
        <v>0.41805555555555557</v>
      </c>
      <c r="F322">
        <v>0</v>
      </c>
      <c r="G322">
        <v>53</v>
      </c>
      <c r="H322" t="s">
        <v>49</v>
      </c>
      <c r="I322">
        <v>4</v>
      </c>
    </row>
    <row r="323" spans="1:9" x14ac:dyDescent="0.15">
      <c r="A323" t="s">
        <v>40</v>
      </c>
      <c r="B323" t="s">
        <v>52</v>
      </c>
      <c r="C323">
        <v>0</v>
      </c>
      <c r="D323" s="82">
        <v>45873</v>
      </c>
      <c r="E323" s="85">
        <v>0.46041666666666664</v>
      </c>
      <c r="F323">
        <v>1</v>
      </c>
      <c r="G323">
        <v>53</v>
      </c>
      <c r="H323" t="s">
        <v>49</v>
      </c>
      <c r="I323">
        <v>4</v>
      </c>
    </row>
    <row r="324" spans="1:9" x14ac:dyDescent="0.15">
      <c r="A324" t="s">
        <v>40</v>
      </c>
      <c r="B324" t="s">
        <v>52</v>
      </c>
      <c r="C324">
        <v>1</v>
      </c>
      <c r="D324" s="82">
        <v>45873</v>
      </c>
      <c r="E324" s="85">
        <v>0.5</v>
      </c>
      <c r="F324">
        <v>1</v>
      </c>
      <c r="G324">
        <v>53</v>
      </c>
      <c r="H324" t="s">
        <v>49</v>
      </c>
      <c r="I324">
        <v>4</v>
      </c>
    </row>
    <row r="325" spans="1:9" x14ac:dyDescent="0.15">
      <c r="A325" t="s">
        <v>40</v>
      </c>
      <c r="B325" t="s">
        <v>52</v>
      </c>
      <c r="C325">
        <v>0</v>
      </c>
      <c r="D325" s="82">
        <v>45873</v>
      </c>
      <c r="E325" s="85">
        <v>0.50069444444444444</v>
      </c>
      <c r="F325">
        <v>0</v>
      </c>
      <c r="G325">
        <v>53</v>
      </c>
      <c r="H325" t="s">
        <v>49</v>
      </c>
      <c r="I325">
        <v>4</v>
      </c>
    </row>
    <row r="326" spans="1:9" x14ac:dyDescent="0.15">
      <c r="A326" t="s">
        <v>40</v>
      </c>
      <c r="B326" t="s">
        <v>52</v>
      </c>
      <c r="C326">
        <v>0</v>
      </c>
      <c r="D326" s="82">
        <v>45873</v>
      </c>
      <c r="E326" s="85">
        <v>0.50277777777777777</v>
      </c>
      <c r="F326">
        <v>0</v>
      </c>
      <c r="G326">
        <v>53</v>
      </c>
      <c r="H326" t="s">
        <v>49</v>
      </c>
      <c r="I326">
        <v>4</v>
      </c>
    </row>
    <row r="327" spans="1:9" x14ac:dyDescent="0.15">
      <c r="A327" t="s">
        <v>40</v>
      </c>
      <c r="B327" t="s">
        <v>52</v>
      </c>
      <c r="C327">
        <v>1</v>
      </c>
      <c r="D327" s="82">
        <v>45873</v>
      </c>
      <c r="E327" s="85">
        <v>0.875</v>
      </c>
      <c r="F327">
        <v>1</v>
      </c>
      <c r="G327">
        <v>53</v>
      </c>
      <c r="H327" t="s">
        <v>49</v>
      </c>
      <c r="I327">
        <v>4</v>
      </c>
    </row>
    <row r="328" spans="1:9" x14ac:dyDescent="0.15">
      <c r="A328" t="s">
        <v>40</v>
      </c>
      <c r="B328" t="s">
        <v>52</v>
      </c>
      <c r="C328">
        <v>0</v>
      </c>
      <c r="D328" s="82">
        <v>45873</v>
      </c>
      <c r="E328" s="85">
        <v>0.87569444444444444</v>
      </c>
      <c r="F328">
        <v>0</v>
      </c>
      <c r="G328">
        <v>53</v>
      </c>
      <c r="H328" t="s">
        <v>49</v>
      </c>
      <c r="I328">
        <v>4</v>
      </c>
    </row>
    <row r="329" spans="1:9" x14ac:dyDescent="0.15">
      <c r="A329" t="s">
        <v>40</v>
      </c>
      <c r="B329" t="s">
        <v>52</v>
      </c>
      <c r="C329">
        <v>0</v>
      </c>
      <c r="D329" s="82">
        <v>45873</v>
      </c>
      <c r="E329" s="85">
        <v>0.87569444444444444</v>
      </c>
      <c r="F329">
        <v>0</v>
      </c>
      <c r="G329">
        <v>53</v>
      </c>
      <c r="H329" t="s">
        <v>49</v>
      </c>
      <c r="I329">
        <v>4</v>
      </c>
    </row>
    <row r="330" spans="1:9" x14ac:dyDescent="0.15">
      <c r="A330" t="s">
        <v>40</v>
      </c>
      <c r="B330" t="s">
        <v>52</v>
      </c>
      <c r="C330">
        <v>0</v>
      </c>
      <c r="D330" s="82">
        <v>45873</v>
      </c>
      <c r="E330" s="85">
        <v>0.87638888888888888</v>
      </c>
      <c r="F330">
        <v>0</v>
      </c>
      <c r="G330">
        <v>53</v>
      </c>
      <c r="H330" t="s">
        <v>49</v>
      </c>
      <c r="I330">
        <v>4</v>
      </c>
    </row>
    <row r="331" spans="1:9" x14ac:dyDescent="0.15">
      <c r="A331" t="s">
        <v>40</v>
      </c>
      <c r="B331" t="s">
        <v>52</v>
      </c>
      <c r="C331">
        <v>0</v>
      </c>
      <c r="D331" s="82">
        <v>45873</v>
      </c>
      <c r="E331" s="85">
        <v>0.87708333333333333</v>
      </c>
      <c r="F331">
        <v>0</v>
      </c>
      <c r="G331">
        <v>53</v>
      </c>
      <c r="H331" t="s">
        <v>49</v>
      </c>
      <c r="I331">
        <v>4</v>
      </c>
    </row>
    <row r="332" spans="1:9" x14ac:dyDescent="0.15">
      <c r="A332" t="s">
        <v>40</v>
      </c>
      <c r="B332" t="s">
        <v>52</v>
      </c>
      <c r="C332">
        <v>0</v>
      </c>
      <c r="D332" s="82">
        <v>45873</v>
      </c>
      <c r="E332" s="85">
        <v>0.87777777777777777</v>
      </c>
      <c r="F332">
        <v>0</v>
      </c>
      <c r="G332">
        <v>53</v>
      </c>
      <c r="H332" t="s">
        <v>49</v>
      </c>
      <c r="I332">
        <v>4</v>
      </c>
    </row>
    <row r="333" spans="1:9" x14ac:dyDescent="0.15">
      <c r="A333" t="s">
        <v>40</v>
      </c>
      <c r="B333" t="s">
        <v>52</v>
      </c>
      <c r="C333">
        <v>0</v>
      </c>
      <c r="D333" s="82">
        <v>45873</v>
      </c>
      <c r="E333" s="85">
        <v>0.91666666666666663</v>
      </c>
      <c r="F333">
        <v>1</v>
      </c>
      <c r="G333">
        <v>53</v>
      </c>
      <c r="H333" t="s">
        <v>49</v>
      </c>
      <c r="I333">
        <v>4</v>
      </c>
    </row>
    <row r="334" spans="1:9" x14ac:dyDescent="0.15">
      <c r="A334" t="s">
        <v>40</v>
      </c>
      <c r="B334" t="s">
        <v>52</v>
      </c>
      <c r="C334">
        <v>0</v>
      </c>
      <c r="D334" s="82">
        <v>45873</v>
      </c>
      <c r="E334" s="85">
        <v>0.91736111111111107</v>
      </c>
      <c r="F334">
        <v>0</v>
      </c>
      <c r="G334">
        <v>53</v>
      </c>
      <c r="H334" t="s">
        <v>49</v>
      </c>
      <c r="I334">
        <v>4</v>
      </c>
    </row>
    <row r="335" spans="1:9" x14ac:dyDescent="0.15">
      <c r="A335" t="s">
        <v>40</v>
      </c>
      <c r="B335" t="s">
        <v>52</v>
      </c>
      <c r="C335">
        <v>0</v>
      </c>
      <c r="D335" s="82">
        <v>45873</v>
      </c>
      <c r="E335" s="85">
        <v>0.91805555555555551</v>
      </c>
      <c r="F335">
        <v>0</v>
      </c>
      <c r="G335">
        <v>53</v>
      </c>
      <c r="H335" t="s">
        <v>49</v>
      </c>
      <c r="I335">
        <v>4</v>
      </c>
    </row>
    <row r="336" spans="1:9" x14ac:dyDescent="0.15">
      <c r="A336" t="s">
        <v>40</v>
      </c>
      <c r="B336" t="s">
        <v>52</v>
      </c>
      <c r="C336">
        <v>0</v>
      </c>
      <c r="D336" s="82">
        <v>45873</v>
      </c>
      <c r="E336" s="85">
        <v>0.91874999999999996</v>
      </c>
      <c r="F336">
        <v>0</v>
      </c>
      <c r="G336">
        <v>53</v>
      </c>
      <c r="H336" t="s">
        <v>49</v>
      </c>
      <c r="I336">
        <v>4</v>
      </c>
    </row>
    <row r="337" spans="1:9" x14ac:dyDescent="0.15">
      <c r="A337" t="s">
        <v>40</v>
      </c>
      <c r="B337" t="s">
        <v>52</v>
      </c>
      <c r="C337">
        <v>0</v>
      </c>
      <c r="D337" s="82">
        <v>45873</v>
      </c>
      <c r="E337" s="85">
        <v>0.9194444444444444</v>
      </c>
      <c r="F337">
        <v>0</v>
      </c>
      <c r="G337">
        <v>53</v>
      </c>
      <c r="H337" t="s">
        <v>49</v>
      </c>
      <c r="I337">
        <v>4</v>
      </c>
    </row>
    <row r="338" spans="1:9" x14ac:dyDescent="0.15">
      <c r="A338" t="s">
        <v>40</v>
      </c>
      <c r="B338" t="s">
        <v>52</v>
      </c>
      <c r="C338">
        <v>0</v>
      </c>
      <c r="D338" s="82">
        <v>45873</v>
      </c>
      <c r="E338" s="85">
        <v>0.95833333333333337</v>
      </c>
      <c r="F338">
        <v>1</v>
      </c>
      <c r="G338">
        <v>53</v>
      </c>
      <c r="H338" t="s">
        <v>49</v>
      </c>
      <c r="I338">
        <v>4</v>
      </c>
    </row>
    <row r="339" spans="1:9" x14ac:dyDescent="0.15">
      <c r="A339" t="s">
        <v>40</v>
      </c>
      <c r="B339" t="s">
        <v>52</v>
      </c>
      <c r="C339">
        <v>0</v>
      </c>
      <c r="D339" s="82">
        <v>45873</v>
      </c>
      <c r="E339" s="85">
        <v>0.95902777777777781</v>
      </c>
      <c r="F339">
        <v>0</v>
      </c>
      <c r="G339">
        <v>53</v>
      </c>
      <c r="H339" t="s">
        <v>49</v>
      </c>
      <c r="I339">
        <v>4</v>
      </c>
    </row>
    <row r="340" spans="1:9" x14ac:dyDescent="0.15">
      <c r="A340" t="s">
        <v>40</v>
      </c>
      <c r="B340" t="s">
        <v>52</v>
      </c>
      <c r="C340">
        <v>0</v>
      </c>
      <c r="D340" s="82">
        <v>45873</v>
      </c>
      <c r="E340" s="85">
        <v>0.95972222222222225</v>
      </c>
      <c r="F340">
        <v>0</v>
      </c>
      <c r="G340">
        <v>53</v>
      </c>
      <c r="H340" t="s">
        <v>49</v>
      </c>
      <c r="I340">
        <v>4</v>
      </c>
    </row>
    <row r="341" spans="1:9" x14ac:dyDescent="0.15">
      <c r="A341" t="s">
        <v>40</v>
      </c>
      <c r="B341" t="s">
        <v>52</v>
      </c>
      <c r="C341">
        <v>0</v>
      </c>
      <c r="D341" s="82">
        <v>45873</v>
      </c>
      <c r="E341" s="85">
        <v>0.9604166666666667</v>
      </c>
      <c r="F341">
        <v>0</v>
      </c>
      <c r="G341">
        <v>53</v>
      </c>
      <c r="H341" t="s">
        <v>49</v>
      </c>
      <c r="I341">
        <v>4</v>
      </c>
    </row>
    <row r="342" spans="1:9" x14ac:dyDescent="0.15">
      <c r="A342" t="s">
        <v>40</v>
      </c>
      <c r="B342" t="s">
        <v>52</v>
      </c>
      <c r="C342">
        <v>0</v>
      </c>
      <c r="D342" s="82">
        <v>45873</v>
      </c>
      <c r="E342" s="85">
        <v>0.96111111111111114</v>
      </c>
      <c r="F342">
        <v>0</v>
      </c>
      <c r="G342">
        <v>53</v>
      </c>
      <c r="H342" t="s">
        <v>49</v>
      </c>
      <c r="I342">
        <v>4</v>
      </c>
    </row>
    <row r="343" spans="1:9" x14ac:dyDescent="0.15">
      <c r="A343" t="s">
        <v>40</v>
      </c>
      <c r="B343" t="s">
        <v>52</v>
      </c>
      <c r="C343">
        <v>0</v>
      </c>
      <c r="D343" s="82">
        <v>45874</v>
      </c>
      <c r="E343" s="85">
        <v>0</v>
      </c>
      <c r="F343">
        <v>1</v>
      </c>
      <c r="G343">
        <v>70</v>
      </c>
      <c r="H343" t="s">
        <v>49</v>
      </c>
      <c r="I343">
        <v>4</v>
      </c>
    </row>
    <row r="344" spans="1:9" x14ac:dyDescent="0.15">
      <c r="A344" t="s">
        <v>40</v>
      </c>
      <c r="B344" t="s">
        <v>52</v>
      </c>
      <c r="C344">
        <v>0</v>
      </c>
      <c r="D344" s="82">
        <v>45874</v>
      </c>
      <c r="E344" s="85">
        <v>6.9444444444444447E-4</v>
      </c>
      <c r="F344">
        <v>0</v>
      </c>
      <c r="G344">
        <v>70</v>
      </c>
      <c r="H344" t="s">
        <v>49</v>
      </c>
      <c r="I344">
        <v>4</v>
      </c>
    </row>
    <row r="345" spans="1:9" x14ac:dyDescent="0.15">
      <c r="A345" t="s">
        <v>40</v>
      </c>
      <c r="B345" t="s">
        <v>52</v>
      </c>
      <c r="C345">
        <v>0</v>
      </c>
      <c r="D345" s="82">
        <v>45874</v>
      </c>
      <c r="E345" s="85">
        <v>1.3888888888888889E-3</v>
      </c>
      <c r="F345">
        <v>0</v>
      </c>
      <c r="G345">
        <v>70</v>
      </c>
      <c r="H345" t="s">
        <v>49</v>
      </c>
      <c r="I345">
        <v>4</v>
      </c>
    </row>
    <row r="346" spans="1:9" x14ac:dyDescent="0.15">
      <c r="A346" t="s">
        <v>40</v>
      </c>
      <c r="B346" t="s">
        <v>52</v>
      </c>
      <c r="C346">
        <v>0</v>
      </c>
      <c r="D346" s="82">
        <v>45874</v>
      </c>
      <c r="E346" s="85">
        <v>2.0833333333333333E-3</v>
      </c>
      <c r="F346">
        <v>0</v>
      </c>
      <c r="G346">
        <v>70</v>
      </c>
      <c r="H346" t="s">
        <v>49</v>
      </c>
      <c r="I346">
        <v>4</v>
      </c>
    </row>
    <row r="347" spans="1:9" x14ac:dyDescent="0.15">
      <c r="A347" t="s">
        <v>40</v>
      </c>
      <c r="B347" t="s">
        <v>52</v>
      </c>
      <c r="C347">
        <v>0</v>
      </c>
      <c r="D347" s="82">
        <v>45874</v>
      </c>
      <c r="E347" s="85">
        <v>2.7777777777777779E-3</v>
      </c>
      <c r="F347">
        <v>0</v>
      </c>
      <c r="G347">
        <v>70</v>
      </c>
      <c r="H347" t="s">
        <v>49</v>
      </c>
      <c r="I347">
        <v>4</v>
      </c>
    </row>
    <row r="348" spans="1:9" x14ac:dyDescent="0.15">
      <c r="A348" t="s">
        <v>40</v>
      </c>
      <c r="B348" t="s">
        <v>52</v>
      </c>
      <c r="C348">
        <v>0</v>
      </c>
      <c r="D348" s="82">
        <v>45874</v>
      </c>
      <c r="E348" s="85">
        <v>4.1666666666666664E-2</v>
      </c>
      <c r="F348">
        <v>1</v>
      </c>
      <c r="G348">
        <v>70</v>
      </c>
      <c r="H348" t="s">
        <v>49</v>
      </c>
      <c r="I348">
        <v>4</v>
      </c>
    </row>
    <row r="349" spans="1:9" x14ac:dyDescent="0.15">
      <c r="A349" t="s">
        <v>40</v>
      </c>
      <c r="B349" t="s">
        <v>52</v>
      </c>
      <c r="C349">
        <v>0</v>
      </c>
      <c r="D349" s="82">
        <v>45874</v>
      </c>
      <c r="E349" s="85">
        <v>4.2361111111111113E-2</v>
      </c>
      <c r="F349">
        <v>0</v>
      </c>
      <c r="G349">
        <v>70</v>
      </c>
      <c r="H349" t="s">
        <v>49</v>
      </c>
      <c r="I349">
        <v>4</v>
      </c>
    </row>
    <row r="350" spans="1:9" x14ac:dyDescent="0.15">
      <c r="A350" t="s">
        <v>40</v>
      </c>
      <c r="B350" t="s">
        <v>52</v>
      </c>
      <c r="C350">
        <v>0</v>
      </c>
      <c r="D350" s="82">
        <v>45874</v>
      </c>
      <c r="E350" s="85">
        <v>4.3055555555555555E-2</v>
      </c>
      <c r="F350">
        <v>0</v>
      </c>
      <c r="G350">
        <v>70</v>
      </c>
      <c r="H350" t="s">
        <v>49</v>
      </c>
      <c r="I350">
        <v>4</v>
      </c>
    </row>
    <row r="351" spans="1:9" x14ac:dyDescent="0.15">
      <c r="A351" t="s">
        <v>40</v>
      </c>
      <c r="B351" t="s">
        <v>52</v>
      </c>
      <c r="C351">
        <v>0</v>
      </c>
      <c r="D351" s="82">
        <v>45874</v>
      </c>
      <c r="E351" s="85">
        <v>4.3749999999999997E-2</v>
      </c>
      <c r="F351">
        <v>0</v>
      </c>
      <c r="G351">
        <v>70</v>
      </c>
      <c r="H351" t="s">
        <v>49</v>
      </c>
      <c r="I351">
        <v>4</v>
      </c>
    </row>
    <row r="352" spans="1:9" x14ac:dyDescent="0.15">
      <c r="A352" t="s">
        <v>40</v>
      </c>
      <c r="B352" t="s">
        <v>52</v>
      </c>
      <c r="C352">
        <v>0</v>
      </c>
      <c r="D352" s="82">
        <v>45874</v>
      </c>
      <c r="E352" s="85">
        <v>4.4444444444444446E-2</v>
      </c>
      <c r="F352">
        <v>0</v>
      </c>
      <c r="G352">
        <v>70</v>
      </c>
      <c r="H352" t="s">
        <v>49</v>
      </c>
      <c r="I352">
        <v>4</v>
      </c>
    </row>
    <row r="353" spans="1:9" x14ac:dyDescent="0.15">
      <c r="A353" t="s">
        <v>40</v>
      </c>
      <c r="B353" t="s">
        <v>52</v>
      </c>
      <c r="C353">
        <v>0</v>
      </c>
      <c r="D353" s="82">
        <v>45874</v>
      </c>
      <c r="E353" s="85">
        <v>8.3333333333333329E-2</v>
      </c>
      <c r="F353">
        <v>1</v>
      </c>
      <c r="G353">
        <v>70</v>
      </c>
      <c r="H353" t="s">
        <v>49</v>
      </c>
      <c r="I353">
        <v>4</v>
      </c>
    </row>
    <row r="354" spans="1:9" x14ac:dyDescent="0.15">
      <c r="A354" t="s">
        <v>40</v>
      </c>
      <c r="B354" t="s">
        <v>52</v>
      </c>
      <c r="C354">
        <v>0</v>
      </c>
      <c r="D354" s="82">
        <v>45874</v>
      </c>
      <c r="E354" s="85">
        <v>8.4027777777777785E-2</v>
      </c>
      <c r="F354">
        <v>0</v>
      </c>
      <c r="G354">
        <v>70</v>
      </c>
      <c r="H354" t="s">
        <v>49</v>
      </c>
      <c r="I354">
        <v>4</v>
      </c>
    </row>
    <row r="355" spans="1:9" x14ac:dyDescent="0.15">
      <c r="A355" t="s">
        <v>40</v>
      </c>
      <c r="B355" t="s">
        <v>52</v>
      </c>
      <c r="C355">
        <v>0</v>
      </c>
      <c r="D355" s="82">
        <v>45874</v>
      </c>
      <c r="E355" s="85">
        <v>8.4722222222222227E-2</v>
      </c>
      <c r="F355">
        <v>0</v>
      </c>
      <c r="G355">
        <v>70</v>
      </c>
      <c r="H355" t="s">
        <v>49</v>
      </c>
      <c r="I355">
        <v>4</v>
      </c>
    </row>
    <row r="356" spans="1:9" x14ac:dyDescent="0.15">
      <c r="A356" t="s">
        <v>40</v>
      </c>
      <c r="B356" t="s">
        <v>52</v>
      </c>
      <c r="C356">
        <v>0</v>
      </c>
      <c r="D356" s="82">
        <v>45874</v>
      </c>
      <c r="E356" s="85">
        <v>8.5416666666666669E-2</v>
      </c>
      <c r="F356">
        <v>0</v>
      </c>
      <c r="G356">
        <v>70</v>
      </c>
      <c r="H356" t="s">
        <v>49</v>
      </c>
      <c r="I356">
        <v>4</v>
      </c>
    </row>
    <row r="357" spans="1:9" x14ac:dyDescent="0.15">
      <c r="A357" t="s">
        <v>40</v>
      </c>
      <c r="B357" t="s">
        <v>52</v>
      </c>
      <c r="C357">
        <v>0</v>
      </c>
      <c r="D357" s="82">
        <v>45874</v>
      </c>
      <c r="E357" s="85">
        <v>8.611111111111111E-2</v>
      </c>
      <c r="F357">
        <v>0</v>
      </c>
      <c r="G357">
        <v>70</v>
      </c>
      <c r="H357" t="s">
        <v>49</v>
      </c>
      <c r="I357">
        <v>4</v>
      </c>
    </row>
    <row r="358" spans="1:9" x14ac:dyDescent="0.15">
      <c r="A358" t="s">
        <v>40</v>
      </c>
      <c r="B358" t="s">
        <v>52</v>
      </c>
      <c r="C358">
        <v>0</v>
      </c>
      <c r="D358" s="82">
        <v>45874</v>
      </c>
      <c r="E358" s="85">
        <v>0.125</v>
      </c>
      <c r="F358">
        <v>1</v>
      </c>
      <c r="G358">
        <v>70</v>
      </c>
      <c r="H358" t="s">
        <v>49</v>
      </c>
      <c r="I358">
        <v>4</v>
      </c>
    </row>
    <row r="359" spans="1:9" x14ac:dyDescent="0.15">
      <c r="A359" t="s">
        <v>40</v>
      </c>
      <c r="B359" t="s">
        <v>52</v>
      </c>
      <c r="C359">
        <v>0</v>
      </c>
      <c r="D359" s="82">
        <v>45874</v>
      </c>
      <c r="E359" s="85">
        <v>0.12569444444444444</v>
      </c>
      <c r="F359">
        <v>0</v>
      </c>
      <c r="G359">
        <v>70</v>
      </c>
      <c r="H359" t="s">
        <v>49</v>
      </c>
      <c r="I359">
        <v>4</v>
      </c>
    </row>
    <row r="360" spans="1:9" x14ac:dyDescent="0.15">
      <c r="A360" t="s">
        <v>40</v>
      </c>
      <c r="B360" t="s">
        <v>52</v>
      </c>
      <c r="C360">
        <v>0</v>
      </c>
      <c r="D360" s="82">
        <v>45874</v>
      </c>
      <c r="E360" s="85">
        <v>0.12638888888888888</v>
      </c>
      <c r="F360">
        <v>0</v>
      </c>
      <c r="G360">
        <v>70</v>
      </c>
      <c r="H360" t="s">
        <v>49</v>
      </c>
      <c r="I360">
        <v>4</v>
      </c>
    </row>
    <row r="361" spans="1:9" x14ac:dyDescent="0.15">
      <c r="A361" t="s">
        <v>40</v>
      </c>
      <c r="B361" t="s">
        <v>52</v>
      </c>
      <c r="C361">
        <v>0</v>
      </c>
      <c r="D361" s="82">
        <v>45874</v>
      </c>
      <c r="E361" s="85">
        <v>0.12708333333333333</v>
      </c>
      <c r="F361">
        <v>0</v>
      </c>
      <c r="G361">
        <v>70</v>
      </c>
      <c r="H361" t="s">
        <v>49</v>
      </c>
      <c r="I361">
        <v>4</v>
      </c>
    </row>
    <row r="362" spans="1:9" x14ac:dyDescent="0.15">
      <c r="A362" t="s">
        <v>40</v>
      </c>
      <c r="B362" t="s">
        <v>52</v>
      </c>
      <c r="C362">
        <v>0</v>
      </c>
      <c r="D362" s="82">
        <v>45874</v>
      </c>
      <c r="E362" s="85">
        <v>0.12777777777777777</v>
      </c>
      <c r="F362">
        <v>0</v>
      </c>
      <c r="G362">
        <v>70</v>
      </c>
      <c r="H362" t="s">
        <v>49</v>
      </c>
      <c r="I362">
        <v>4</v>
      </c>
    </row>
    <row r="363" spans="1:9" x14ac:dyDescent="0.15">
      <c r="A363" t="s">
        <v>40</v>
      </c>
      <c r="B363" t="s">
        <v>52</v>
      </c>
      <c r="C363">
        <v>0</v>
      </c>
      <c r="D363" s="82">
        <v>45874</v>
      </c>
      <c r="E363" s="85">
        <v>0.16666666666666666</v>
      </c>
      <c r="F363">
        <v>1</v>
      </c>
      <c r="G363">
        <v>70</v>
      </c>
      <c r="H363" t="s">
        <v>49</v>
      </c>
      <c r="I363">
        <v>4</v>
      </c>
    </row>
    <row r="364" spans="1:9" x14ac:dyDescent="0.15">
      <c r="A364" t="s">
        <v>40</v>
      </c>
      <c r="B364" t="s">
        <v>52</v>
      </c>
      <c r="C364">
        <v>0</v>
      </c>
      <c r="D364" s="82">
        <v>45874</v>
      </c>
      <c r="E364" s="85">
        <v>0.1673611111111111</v>
      </c>
      <c r="F364">
        <v>0</v>
      </c>
      <c r="G364">
        <v>70</v>
      </c>
      <c r="H364" t="s">
        <v>49</v>
      </c>
      <c r="I364">
        <v>4</v>
      </c>
    </row>
    <row r="365" spans="1:9" x14ac:dyDescent="0.15">
      <c r="A365" t="s">
        <v>40</v>
      </c>
      <c r="B365" t="s">
        <v>52</v>
      </c>
      <c r="C365">
        <v>0</v>
      </c>
      <c r="D365" s="82">
        <v>45874</v>
      </c>
      <c r="E365" s="85">
        <v>0.16805555555555557</v>
      </c>
      <c r="F365">
        <v>0</v>
      </c>
      <c r="G365">
        <v>70</v>
      </c>
      <c r="H365" t="s">
        <v>49</v>
      </c>
      <c r="I365">
        <v>4</v>
      </c>
    </row>
    <row r="366" spans="1:9" x14ac:dyDescent="0.15">
      <c r="A366" t="s">
        <v>40</v>
      </c>
      <c r="B366" t="s">
        <v>52</v>
      </c>
      <c r="C366">
        <v>0</v>
      </c>
      <c r="D366" s="82">
        <v>45874</v>
      </c>
      <c r="E366" s="85">
        <v>0.16875000000000001</v>
      </c>
      <c r="F366">
        <v>0</v>
      </c>
      <c r="G366">
        <v>70</v>
      </c>
      <c r="H366" t="s">
        <v>49</v>
      </c>
      <c r="I366">
        <v>4</v>
      </c>
    </row>
    <row r="367" spans="1:9" x14ac:dyDescent="0.15">
      <c r="A367" t="s">
        <v>40</v>
      </c>
      <c r="B367" t="s">
        <v>52</v>
      </c>
      <c r="C367">
        <v>0</v>
      </c>
      <c r="D367" s="82">
        <v>45874</v>
      </c>
      <c r="E367" s="85">
        <v>0.16944444444444445</v>
      </c>
      <c r="F367">
        <v>0</v>
      </c>
      <c r="G367">
        <v>70</v>
      </c>
      <c r="H367" t="s">
        <v>49</v>
      </c>
      <c r="I367">
        <v>4</v>
      </c>
    </row>
    <row r="368" spans="1:9" x14ac:dyDescent="0.15">
      <c r="A368" t="s">
        <v>40</v>
      </c>
      <c r="B368" t="s">
        <v>52</v>
      </c>
      <c r="C368">
        <v>0</v>
      </c>
      <c r="D368" s="82">
        <v>45874</v>
      </c>
      <c r="E368" s="85">
        <v>0.20833333333333334</v>
      </c>
      <c r="F368">
        <v>1</v>
      </c>
      <c r="G368">
        <v>70</v>
      </c>
      <c r="H368" t="s">
        <v>49</v>
      </c>
      <c r="I368">
        <v>4</v>
      </c>
    </row>
    <row r="369" spans="1:9" x14ac:dyDescent="0.15">
      <c r="A369" t="s">
        <v>40</v>
      </c>
      <c r="B369" t="s">
        <v>52</v>
      </c>
      <c r="C369">
        <v>0</v>
      </c>
      <c r="D369" s="82">
        <v>45874</v>
      </c>
      <c r="E369" s="85">
        <v>0.20902777777777778</v>
      </c>
      <c r="F369">
        <v>0</v>
      </c>
      <c r="G369">
        <v>70</v>
      </c>
      <c r="H369" t="s">
        <v>49</v>
      </c>
      <c r="I369">
        <v>4</v>
      </c>
    </row>
    <row r="370" spans="1:9" x14ac:dyDescent="0.15">
      <c r="A370" t="s">
        <v>40</v>
      </c>
      <c r="B370" t="s">
        <v>52</v>
      </c>
      <c r="C370">
        <v>0</v>
      </c>
      <c r="D370" s="82">
        <v>45874</v>
      </c>
      <c r="E370" s="85">
        <v>0.20972222222222223</v>
      </c>
      <c r="F370">
        <v>0</v>
      </c>
      <c r="G370">
        <v>70</v>
      </c>
      <c r="H370" t="s">
        <v>49</v>
      </c>
      <c r="I370">
        <v>4</v>
      </c>
    </row>
    <row r="371" spans="1:9" x14ac:dyDescent="0.15">
      <c r="A371" t="s">
        <v>40</v>
      </c>
      <c r="B371" t="s">
        <v>52</v>
      </c>
      <c r="C371">
        <v>0</v>
      </c>
      <c r="D371" s="82">
        <v>45874</v>
      </c>
      <c r="E371" s="85">
        <v>0.21041666666666667</v>
      </c>
      <c r="F371">
        <v>0</v>
      </c>
      <c r="G371">
        <v>70</v>
      </c>
      <c r="H371" t="s">
        <v>49</v>
      </c>
      <c r="I371">
        <v>4</v>
      </c>
    </row>
    <row r="372" spans="1:9" x14ac:dyDescent="0.15">
      <c r="A372" t="s">
        <v>40</v>
      </c>
      <c r="B372" t="s">
        <v>52</v>
      </c>
      <c r="C372">
        <v>0</v>
      </c>
      <c r="D372" s="82">
        <v>45874</v>
      </c>
      <c r="E372" s="85">
        <v>0.21111111111111111</v>
      </c>
      <c r="F372">
        <v>0</v>
      </c>
      <c r="G372">
        <v>70</v>
      </c>
      <c r="H372" t="s">
        <v>49</v>
      </c>
      <c r="I372">
        <v>4</v>
      </c>
    </row>
    <row r="373" spans="1:9" x14ac:dyDescent="0.15">
      <c r="A373" t="s">
        <v>40</v>
      </c>
      <c r="B373" t="s">
        <v>52</v>
      </c>
      <c r="C373">
        <v>0</v>
      </c>
      <c r="D373" s="82">
        <v>45874</v>
      </c>
      <c r="E373" s="85">
        <v>0.25</v>
      </c>
      <c r="F373">
        <v>1</v>
      </c>
      <c r="G373">
        <v>70</v>
      </c>
      <c r="H373" t="s">
        <v>49</v>
      </c>
      <c r="I373">
        <v>4</v>
      </c>
    </row>
    <row r="374" spans="1:9" x14ac:dyDescent="0.15">
      <c r="A374" t="s">
        <v>40</v>
      </c>
      <c r="B374" t="s">
        <v>52</v>
      </c>
      <c r="C374">
        <v>0</v>
      </c>
      <c r="D374" s="82">
        <v>45874</v>
      </c>
      <c r="E374" s="85">
        <v>0.25069444444444444</v>
      </c>
      <c r="F374">
        <v>0</v>
      </c>
      <c r="G374">
        <v>70</v>
      </c>
      <c r="H374" t="s">
        <v>49</v>
      </c>
      <c r="I374">
        <v>4</v>
      </c>
    </row>
    <row r="375" spans="1:9" x14ac:dyDescent="0.15">
      <c r="A375" t="s">
        <v>40</v>
      </c>
      <c r="B375" t="s">
        <v>52</v>
      </c>
      <c r="C375">
        <v>0</v>
      </c>
      <c r="D375" s="82">
        <v>45874</v>
      </c>
      <c r="E375" s="85">
        <v>0.25138888888888888</v>
      </c>
      <c r="F375">
        <v>0</v>
      </c>
      <c r="G375">
        <v>70</v>
      </c>
      <c r="H375" t="s">
        <v>49</v>
      </c>
      <c r="I375">
        <v>4</v>
      </c>
    </row>
    <row r="376" spans="1:9" x14ac:dyDescent="0.15">
      <c r="A376" t="s">
        <v>40</v>
      </c>
      <c r="B376" t="s">
        <v>52</v>
      </c>
      <c r="C376">
        <v>0</v>
      </c>
      <c r="D376" s="82">
        <v>45874</v>
      </c>
      <c r="E376" s="85">
        <v>0.25208333333333333</v>
      </c>
      <c r="F376">
        <v>0</v>
      </c>
      <c r="G376">
        <v>70</v>
      </c>
      <c r="H376" t="s">
        <v>49</v>
      </c>
      <c r="I376">
        <v>4</v>
      </c>
    </row>
    <row r="377" spans="1:9" x14ac:dyDescent="0.15">
      <c r="A377" t="s">
        <v>40</v>
      </c>
      <c r="B377" t="s">
        <v>52</v>
      </c>
      <c r="C377">
        <v>0</v>
      </c>
      <c r="D377" s="82">
        <v>45874</v>
      </c>
      <c r="E377" s="85">
        <v>0.25277777777777777</v>
      </c>
      <c r="F377">
        <v>0</v>
      </c>
      <c r="G377">
        <v>70</v>
      </c>
      <c r="H377" t="s">
        <v>49</v>
      </c>
      <c r="I377">
        <v>4</v>
      </c>
    </row>
    <row r="378" spans="1:9" x14ac:dyDescent="0.15">
      <c r="A378" t="s">
        <v>40</v>
      </c>
      <c r="B378" t="s">
        <v>52</v>
      </c>
      <c r="C378">
        <v>0</v>
      </c>
      <c r="D378" s="82">
        <v>45874</v>
      </c>
      <c r="E378" s="85">
        <v>0.29166666666666669</v>
      </c>
      <c r="F378">
        <v>1</v>
      </c>
      <c r="G378">
        <v>70</v>
      </c>
      <c r="H378" t="s">
        <v>49</v>
      </c>
      <c r="I378">
        <v>4</v>
      </c>
    </row>
    <row r="379" spans="1:9" x14ac:dyDescent="0.15">
      <c r="A379" t="s">
        <v>40</v>
      </c>
      <c r="B379" t="s">
        <v>52</v>
      </c>
      <c r="C379">
        <v>0</v>
      </c>
      <c r="D379" s="82">
        <v>45874</v>
      </c>
      <c r="E379" s="85">
        <v>0.29236111111111113</v>
      </c>
      <c r="F379">
        <v>0</v>
      </c>
      <c r="G379">
        <v>70</v>
      </c>
      <c r="H379" t="s">
        <v>49</v>
      </c>
      <c r="I379">
        <v>4</v>
      </c>
    </row>
    <row r="380" spans="1:9" x14ac:dyDescent="0.15">
      <c r="A380" t="s">
        <v>40</v>
      </c>
      <c r="B380" t="s">
        <v>52</v>
      </c>
      <c r="C380">
        <v>0</v>
      </c>
      <c r="D380" s="82">
        <v>45874</v>
      </c>
      <c r="E380" s="85">
        <v>0.29305555555555557</v>
      </c>
      <c r="F380">
        <v>0</v>
      </c>
      <c r="G380">
        <v>70</v>
      </c>
      <c r="H380" t="s">
        <v>49</v>
      </c>
      <c r="I380">
        <v>4</v>
      </c>
    </row>
    <row r="381" spans="1:9" x14ac:dyDescent="0.15">
      <c r="A381" t="s">
        <v>40</v>
      </c>
      <c r="B381" t="s">
        <v>52</v>
      </c>
      <c r="C381">
        <v>0</v>
      </c>
      <c r="D381" s="82">
        <v>45874</v>
      </c>
      <c r="E381" s="85">
        <v>0.29375000000000001</v>
      </c>
      <c r="F381">
        <v>0</v>
      </c>
      <c r="G381">
        <v>70</v>
      </c>
      <c r="H381" t="s">
        <v>49</v>
      </c>
      <c r="I381">
        <v>4</v>
      </c>
    </row>
    <row r="382" spans="1:9" x14ac:dyDescent="0.15">
      <c r="A382" t="s">
        <v>40</v>
      </c>
      <c r="B382" t="s">
        <v>52</v>
      </c>
      <c r="C382">
        <v>0</v>
      </c>
      <c r="D382" s="82">
        <v>45874</v>
      </c>
      <c r="E382" s="85">
        <v>0.29444444444444445</v>
      </c>
      <c r="F382">
        <v>0</v>
      </c>
      <c r="G382">
        <v>70</v>
      </c>
      <c r="H382" t="s">
        <v>49</v>
      </c>
      <c r="I382">
        <v>4</v>
      </c>
    </row>
    <row r="383" spans="1:9" x14ac:dyDescent="0.15">
      <c r="A383" t="s">
        <v>40</v>
      </c>
      <c r="B383" t="s">
        <v>52</v>
      </c>
      <c r="C383">
        <v>0</v>
      </c>
      <c r="D383" s="82">
        <v>45874</v>
      </c>
      <c r="E383" s="85">
        <v>0.83333333333333337</v>
      </c>
      <c r="F383">
        <v>1</v>
      </c>
      <c r="G383">
        <v>70</v>
      </c>
      <c r="H383" t="s">
        <v>49</v>
      </c>
      <c r="I383">
        <v>4</v>
      </c>
    </row>
    <row r="384" spans="1:9" x14ac:dyDescent="0.15">
      <c r="A384" t="s">
        <v>40</v>
      </c>
      <c r="B384" t="s">
        <v>52</v>
      </c>
      <c r="C384">
        <v>0</v>
      </c>
      <c r="D384" s="82">
        <v>45874</v>
      </c>
      <c r="E384" s="85">
        <v>0.87569444444444444</v>
      </c>
      <c r="F384">
        <v>1</v>
      </c>
      <c r="G384">
        <v>70</v>
      </c>
      <c r="H384" t="s">
        <v>49</v>
      </c>
      <c r="I384">
        <v>4</v>
      </c>
    </row>
    <row r="385" spans="1:9" x14ac:dyDescent="0.15">
      <c r="A385" t="s">
        <v>40</v>
      </c>
      <c r="B385" t="s">
        <v>52</v>
      </c>
      <c r="C385">
        <v>0</v>
      </c>
      <c r="D385" s="82">
        <v>45874</v>
      </c>
      <c r="E385" s="85">
        <v>0.87638888888888888</v>
      </c>
      <c r="F385">
        <v>0</v>
      </c>
      <c r="G385">
        <v>70</v>
      </c>
      <c r="H385" t="s">
        <v>49</v>
      </c>
      <c r="I385">
        <v>4</v>
      </c>
    </row>
    <row r="386" spans="1:9" x14ac:dyDescent="0.15">
      <c r="A386" t="s">
        <v>40</v>
      </c>
      <c r="B386" t="s">
        <v>52</v>
      </c>
      <c r="C386">
        <v>0</v>
      </c>
      <c r="D386" s="82">
        <v>45874</v>
      </c>
      <c r="E386" s="85">
        <v>0.87708333333333333</v>
      </c>
      <c r="F386">
        <v>0</v>
      </c>
      <c r="G386">
        <v>70</v>
      </c>
      <c r="H386" t="s">
        <v>49</v>
      </c>
      <c r="I386">
        <v>4</v>
      </c>
    </row>
    <row r="387" spans="1:9" x14ac:dyDescent="0.15">
      <c r="A387" t="s">
        <v>40</v>
      </c>
      <c r="B387" t="s">
        <v>52</v>
      </c>
      <c r="C387">
        <v>0</v>
      </c>
      <c r="D387" s="82">
        <v>45874</v>
      </c>
      <c r="E387" s="85">
        <v>0.87777777777777777</v>
      </c>
      <c r="F387">
        <v>0</v>
      </c>
      <c r="G387">
        <v>70</v>
      </c>
      <c r="H387" t="s">
        <v>49</v>
      </c>
      <c r="I387">
        <v>4</v>
      </c>
    </row>
    <row r="388" spans="1:9" x14ac:dyDescent="0.15">
      <c r="A388" t="s">
        <v>40</v>
      </c>
      <c r="B388" t="s">
        <v>52</v>
      </c>
      <c r="C388">
        <v>0</v>
      </c>
      <c r="D388" s="82">
        <v>45874</v>
      </c>
      <c r="E388" s="85">
        <v>0.91666666666666663</v>
      </c>
      <c r="F388">
        <v>1</v>
      </c>
      <c r="G388">
        <v>70</v>
      </c>
      <c r="H388" t="s">
        <v>49</v>
      </c>
      <c r="I388">
        <v>4</v>
      </c>
    </row>
    <row r="389" spans="1:9" x14ac:dyDescent="0.15">
      <c r="A389" t="s">
        <v>40</v>
      </c>
      <c r="B389" t="s">
        <v>52</v>
      </c>
      <c r="C389">
        <v>0</v>
      </c>
      <c r="D389" s="82">
        <v>45874</v>
      </c>
      <c r="E389" s="85">
        <v>0.91736111111111107</v>
      </c>
      <c r="F389">
        <v>0</v>
      </c>
      <c r="G389">
        <v>70</v>
      </c>
      <c r="H389" t="s">
        <v>49</v>
      </c>
      <c r="I389">
        <v>4</v>
      </c>
    </row>
    <row r="390" spans="1:9" x14ac:dyDescent="0.15">
      <c r="A390" t="s">
        <v>40</v>
      </c>
      <c r="B390" t="s">
        <v>52</v>
      </c>
      <c r="C390">
        <v>0</v>
      </c>
      <c r="D390" s="82">
        <v>45874</v>
      </c>
      <c r="E390" s="85">
        <v>0.91874999999999996</v>
      </c>
      <c r="F390">
        <v>0</v>
      </c>
      <c r="G390">
        <v>70</v>
      </c>
      <c r="H390" t="s">
        <v>49</v>
      </c>
      <c r="I390">
        <v>4</v>
      </c>
    </row>
    <row r="391" spans="1:9" x14ac:dyDescent="0.15">
      <c r="A391" t="s">
        <v>40</v>
      </c>
      <c r="B391" t="s">
        <v>52</v>
      </c>
      <c r="C391">
        <v>0</v>
      </c>
      <c r="D391" s="82">
        <v>45874</v>
      </c>
      <c r="E391" s="85">
        <v>0.95833333333333337</v>
      </c>
      <c r="F391">
        <v>1</v>
      </c>
      <c r="G391">
        <v>70</v>
      </c>
      <c r="H391" t="s">
        <v>49</v>
      </c>
      <c r="I391">
        <v>4</v>
      </c>
    </row>
    <row r="392" spans="1:9" x14ac:dyDescent="0.15">
      <c r="A392" t="s">
        <v>40</v>
      </c>
      <c r="B392" t="s">
        <v>52</v>
      </c>
      <c r="C392">
        <v>0</v>
      </c>
      <c r="D392" s="82">
        <v>45874</v>
      </c>
      <c r="E392" s="85">
        <v>0.95902777777777781</v>
      </c>
      <c r="F392">
        <v>0</v>
      </c>
      <c r="G392">
        <v>70</v>
      </c>
      <c r="H392" t="s">
        <v>49</v>
      </c>
      <c r="I392">
        <v>4</v>
      </c>
    </row>
    <row r="393" spans="1:9" x14ac:dyDescent="0.15">
      <c r="A393" t="s">
        <v>40</v>
      </c>
      <c r="B393" t="s">
        <v>52</v>
      </c>
      <c r="C393">
        <v>0</v>
      </c>
      <c r="D393" s="82">
        <v>45874</v>
      </c>
      <c r="E393" s="85">
        <v>0.95972222222222225</v>
      </c>
      <c r="F393">
        <v>0</v>
      </c>
      <c r="G393">
        <v>70</v>
      </c>
      <c r="H393" t="s">
        <v>49</v>
      </c>
      <c r="I393">
        <v>4</v>
      </c>
    </row>
    <row r="394" spans="1:9" x14ac:dyDescent="0.15">
      <c r="A394" t="s">
        <v>40</v>
      </c>
      <c r="B394" t="s">
        <v>52</v>
      </c>
      <c r="C394">
        <v>0</v>
      </c>
      <c r="D394" s="82">
        <v>45874</v>
      </c>
      <c r="E394" s="85">
        <v>0.9604166666666667</v>
      </c>
      <c r="F394">
        <v>0</v>
      </c>
      <c r="G394">
        <v>70</v>
      </c>
      <c r="H394" t="s">
        <v>49</v>
      </c>
      <c r="I394">
        <v>4</v>
      </c>
    </row>
    <row r="395" spans="1:9" x14ac:dyDescent="0.15">
      <c r="A395" t="s">
        <v>40</v>
      </c>
      <c r="B395" t="s">
        <v>52</v>
      </c>
      <c r="C395">
        <v>0</v>
      </c>
      <c r="D395" s="82">
        <v>45874</v>
      </c>
      <c r="E395" s="85">
        <v>0.96111111111111114</v>
      </c>
      <c r="F395">
        <v>0</v>
      </c>
      <c r="G395">
        <v>70</v>
      </c>
      <c r="H395" t="s">
        <v>49</v>
      </c>
      <c r="I395">
        <v>4</v>
      </c>
    </row>
    <row r="396" spans="1:9" x14ac:dyDescent="0.15">
      <c r="A396" t="s">
        <v>40</v>
      </c>
      <c r="B396" t="s">
        <v>52</v>
      </c>
      <c r="C396">
        <v>0</v>
      </c>
      <c r="D396" s="82">
        <v>45875</v>
      </c>
      <c r="E396" s="85">
        <v>0</v>
      </c>
      <c r="F396">
        <v>1</v>
      </c>
      <c r="G396">
        <v>53</v>
      </c>
      <c r="H396" t="s">
        <v>49</v>
      </c>
      <c r="I396">
        <v>4</v>
      </c>
    </row>
    <row r="397" spans="1:9" x14ac:dyDescent="0.15">
      <c r="A397" t="s">
        <v>40</v>
      </c>
      <c r="B397" t="s">
        <v>52</v>
      </c>
      <c r="C397">
        <v>0</v>
      </c>
      <c r="D397" s="82">
        <v>45875</v>
      </c>
      <c r="E397" s="85">
        <v>6.9444444444444447E-4</v>
      </c>
      <c r="F397">
        <v>0</v>
      </c>
      <c r="G397">
        <v>53</v>
      </c>
      <c r="H397" t="s">
        <v>49</v>
      </c>
      <c r="I397">
        <v>4</v>
      </c>
    </row>
    <row r="398" spans="1:9" x14ac:dyDescent="0.15">
      <c r="A398" t="s">
        <v>40</v>
      </c>
      <c r="B398" t="s">
        <v>52</v>
      </c>
      <c r="C398">
        <v>0</v>
      </c>
      <c r="D398" s="82">
        <v>45875</v>
      </c>
      <c r="E398" s="85">
        <v>1.3888888888888889E-3</v>
      </c>
      <c r="F398">
        <v>0</v>
      </c>
      <c r="G398">
        <v>53</v>
      </c>
      <c r="H398" t="s">
        <v>49</v>
      </c>
      <c r="I398">
        <v>4</v>
      </c>
    </row>
    <row r="399" spans="1:9" x14ac:dyDescent="0.15">
      <c r="A399" t="s">
        <v>40</v>
      </c>
      <c r="B399" t="s">
        <v>52</v>
      </c>
      <c r="C399">
        <v>0</v>
      </c>
      <c r="D399" s="82">
        <v>45875</v>
      </c>
      <c r="E399" s="85">
        <v>2.0833333333333333E-3</v>
      </c>
      <c r="F399">
        <v>0</v>
      </c>
      <c r="G399">
        <v>53</v>
      </c>
      <c r="H399" t="s">
        <v>49</v>
      </c>
      <c r="I399">
        <v>4</v>
      </c>
    </row>
    <row r="400" spans="1:9" x14ac:dyDescent="0.15">
      <c r="A400" t="s">
        <v>40</v>
      </c>
      <c r="B400" t="s">
        <v>52</v>
      </c>
      <c r="C400">
        <v>0</v>
      </c>
      <c r="D400" s="82">
        <v>45875</v>
      </c>
      <c r="E400" s="85">
        <v>2.7777777777777779E-3</v>
      </c>
      <c r="F400">
        <v>0</v>
      </c>
      <c r="G400">
        <v>53</v>
      </c>
      <c r="H400" t="s">
        <v>49</v>
      </c>
      <c r="I400">
        <v>4</v>
      </c>
    </row>
    <row r="401" spans="1:9" x14ac:dyDescent="0.15">
      <c r="A401" t="s">
        <v>40</v>
      </c>
      <c r="B401" t="s">
        <v>52</v>
      </c>
      <c r="C401">
        <v>0</v>
      </c>
      <c r="D401" s="82">
        <v>45875</v>
      </c>
      <c r="E401" s="85">
        <v>4.1666666666666664E-2</v>
      </c>
      <c r="F401">
        <v>1</v>
      </c>
      <c r="G401">
        <v>53</v>
      </c>
      <c r="H401" t="s">
        <v>49</v>
      </c>
      <c r="I401">
        <v>4</v>
      </c>
    </row>
    <row r="402" spans="1:9" x14ac:dyDescent="0.15">
      <c r="A402" t="s">
        <v>40</v>
      </c>
      <c r="B402" t="s">
        <v>52</v>
      </c>
      <c r="C402">
        <v>0</v>
      </c>
      <c r="D402" s="82">
        <v>45875</v>
      </c>
      <c r="E402" s="85">
        <v>4.2361111111111113E-2</v>
      </c>
      <c r="F402">
        <v>0</v>
      </c>
      <c r="G402">
        <v>53</v>
      </c>
      <c r="H402" t="s">
        <v>49</v>
      </c>
      <c r="I402">
        <v>4</v>
      </c>
    </row>
    <row r="403" spans="1:9" x14ac:dyDescent="0.15">
      <c r="A403" t="s">
        <v>40</v>
      </c>
      <c r="B403" t="s">
        <v>52</v>
      </c>
      <c r="C403">
        <v>0</v>
      </c>
      <c r="D403" s="82">
        <v>45875</v>
      </c>
      <c r="E403" s="85">
        <v>4.3055555555555555E-2</v>
      </c>
      <c r="F403">
        <v>0</v>
      </c>
      <c r="G403">
        <v>53</v>
      </c>
      <c r="H403" t="s">
        <v>49</v>
      </c>
      <c r="I403">
        <v>4</v>
      </c>
    </row>
    <row r="404" spans="1:9" x14ac:dyDescent="0.15">
      <c r="A404" t="s">
        <v>40</v>
      </c>
      <c r="B404" t="s">
        <v>52</v>
      </c>
      <c r="C404">
        <v>0</v>
      </c>
      <c r="D404" s="82">
        <v>45875</v>
      </c>
      <c r="E404" s="85">
        <v>4.3749999999999997E-2</v>
      </c>
      <c r="F404">
        <v>0</v>
      </c>
      <c r="G404">
        <v>53</v>
      </c>
      <c r="H404" t="s">
        <v>49</v>
      </c>
      <c r="I404">
        <v>4</v>
      </c>
    </row>
    <row r="405" spans="1:9" x14ac:dyDescent="0.15">
      <c r="A405" t="s">
        <v>40</v>
      </c>
      <c r="B405" t="s">
        <v>52</v>
      </c>
      <c r="C405">
        <v>0</v>
      </c>
      <c r="D405" s="82">
        <v>45875</v>
      </c>
      <c r="E405" s="85">
        <v>4.4444444444444446E-2</v>
      </c>
      <c r="F405">
        <v>0</v>
      </c>
      <c r="G405">
        <v>53</v>
      </c>
      <c r="H405" t="s">
        <v>49</v>
      </c>
      <c r="I405">
        <v>4</v>
      </c>
    </row>
    <row r="406" spans="1:9" x14ac:dyDescent="0.15">
      <c r="A406" t="s">
        <v>40</v>
      </c>
      <c r="B406" t="s">
        <v>52</v>
      </c>
      <c r="C406">
        <v>0</v>
      </c>
      <c r="D406" s="82">
        <v>45875</v>
      </c>
      <c r="E406" s="85">
        <v>8.3333333333333329E-2</v>
      </c>
      <c r="F406">
        <v>1</v>
      </c>
      <c r="G406">
        <v>53</v>
      </c>
      <c r="H406" t="s">
        <v>49</v>
      </c>
      <c r="I406">
        <v>4</v>
      </c>
    </row>
    <row r="407" spans="1:9" x14ac:dyDescent="0.15">
      <c r="A407" t="s">
        <v>40</v>
      </c>
      <c r="B407" t="s">
        <v>52</v>
      </c>
      <c r="C407">
        <v>0</v>
      </c>
      <c r="D407" s="82">
        <v>45875</v>
      </c>
      <c r="E407" s="85">
        <v>8.4027777777777785E-2</v>
      </c>
      <c r="F407">
        <v>0</v>
      </c>
      <c r="G407">
        <v>53</v>
      </c>
      <c r="H407" t="s">
        <v>49</v>
      </c>
      <c r="I407">
        <v>4</v>
      </c>
    </row>
    <row r="408" spans="1:9" x14ac:dyDescent="0.15">
      <c r="A408" t="s">
        <v>40</v>
      </c>
      <c r="B408" t="s">
        <v>52</v>
      </c>
      <c r="C408">
        <v>0</v>
      </c>
      <c r="D408" s="82">
        <v>45875</v>
      </c>
      <c r="E408" s="85">
        <v>8.4722222222222227E-2</v>
      </c>
      <c r="F408">
        <v>0</v>
      </c>
      <c r="G408">
        <v>53</v>
      </c>
      <c r="H408" t="s">
        <v>49</v>
      </c>
      <c r="I408">
        <v>4</v>
      </c>
    </row>
    <row r="409" spans="1:9" x14ac:dyDescent="0.15">
      <c r="A409" t="s">
        <v>40</v>
      </c>
      <c r="B409" t="s">
        <v>52</v>
      </c>
      <c r="C409">
        <v>0</v>
      </c>
      <c r="D409" s="82">
        <v>45875</v>
      </c>
      <c r="E409" s="85">
        <v>8.5416666666666669E-2</v>
      </c>
      <c r="F409">
        <v>0</v>
      </c>
      <c r="G409">
        <v>53</v>
      </c>
      <c r="H409" t="s">
        <v>49</v>
      </c>
      <c r="I409">
        <v>4</v>
      </c>
    </row>
    <row r="410" spans="1:9" x14ac:dyDescent="0.15">
      <c r="A410" t="s">
        <v>40</v>
      </c>
      <c r="B410" t="s">
        <v>52</v>
      </c>
      <c r="C410">
        <v>0</v>
      </c>
      <c r="D410" s="82">
        <v>45875</v>
      </c>
      <c r="E410" s="85">
        <v>8.611111111111111E-2</v>
      </c>
      <c r="F410">
        <v>0</v>
      </c>
      <c r="G410">
        <v>53</v>
      </c>
      <c r="H410" t="s">
        <v>49</v>
      </c>
      <c r="I410">
        <v>4</v>
      </c>
    </row>
    <row r="411" spans="1:9" x14ac:dyDescent="0.15">
      <c r="A411" t="s">
        <v>40</v>
      </c>
      <c r="B411" t="s">
        <v>52</v>
      </c>
      <c r="C411">
        <v>0</v>
      </c>
      <c r="D411" s="82">
        <v>45875</v>
      </c>
      <c r="E411" s="85">
        <v>0.125</v>
      </c>
      <c r="F411">
        <v>1</v>
      </c>
      <c r="G411">
        <v>53</v>
      </c>
      <c r="H411" t="s">
        <v>49</v>
      </c>
      <c r="I411">
        <v>4</v>
      </c>
    </row>
    <row r="412" spans="1:9" x14ac:dyDescent="0.15">
      <c r="A412" t="s">
        <v>40</v>
      </c>
      <c r="B412" t="s">
        <v>52</v>
      </c>
      <c r="C412">
        <v>0</v>
      </c>
      <c r="D412" s="82">
        <v>45875</v>
      </c>
      <c r="E412" s="85">
        <v>0.12569444444444444</v>
      </c>
      <c r="F412">
        <v>0</v>
      </c>
      <c r="G412">
        <v>53</v>
      </c>
      <c r="H412" t="s">
        <v>49</v>
      </c>
      <c r="I412">
        <v>4</v>
      </c>
    </row>
    <row r="413" spans="1:9" x14ac:dyDescent="0.15">
      <c r="A413" t="s">
        <v>40</v>
      </c>
      <c r="B413" t="s">
        <v>52</v>
      </c>
      <c r="C413">
        <v>0</v>
      </c>
      <c r="D413" s="82">
        <v>45875</v>
      </c>
      <c r="E413" s="85">
        <v>0.12638888888888888</v>
      </c>
      <c r="F413">
        <v>0</v>
      </c>
      <c r="G413">
        <v>53</v>
      </c>
      <c r="H413" t="s">
        <v>49</v>
      </c>
      <c r="I413">
        <v>4</v>
      </c>
    </row>
    <row r="414" spans="1:9" x14ac:dyDescent="0.15">
      <c r="A414" t="s">
        <v>40</v>
      </c>
      <c r="B414" t="s">
        <v>52</v>
      </c>
      <c r="C414">
        <v>0</v>
      </c>
      <c r="D414" s="82">
        <v>45875</v>
      </c>
      <c r="E414" s="85">
        <v>0.12708333333333333</v>
      </c>
      <c r="F414">
        <v>0</v>
      </c>
      <c r="G414">
        <v>53</v>
      </c>
      <c r="H414" t="s">
        <v>49</v>
      </c>
      <c r="I414">
        <v>4</v>
      </c>
    </row>
    <row r="415" spans="1:9" x14ac:dyDescent="0.15">
      <c r="A415" t="s">
        <v>40</v>
      </c>
      <c r="B415" t="s">
        <v>52</v>
      </c>
      <c r="C415">
        <v>0</v>
      </c>
      <c r="D415" s="82">
        <v>45875</v>
      </c>
      <c r="E415" s="85">
        <v>0.12777777777777777</v>
      </c>
      <c r="F415">
        <v>0</v>
      </c>
      <c r="G415">
        <v>53</v>
      </c>
      <c r="H415" t="s">
        <v>49</v>
      </c>
      <c r="I415">
        <v>4</v>
      </c>
    </row>
    <row r="416" spans="1:9" x14ac:dyDescent="0.15">
      <c r="A416" t="s">
        <v>40</v>
      </c>
      <c r="B416" t="s">
        <v>52</v>
      </c>
      <c r="C416">
        <v>0</v>
      </c>
      <c r="D416" s="82">
        <v>45875</v>
      </c>
      <c r="E416" s="85">
        <v>0.16666666666666666</v>
      </c>
      <c r="F416">
        <v>1</v>
      </c>
      <c r="G416">
        <v>53</v>
      </c>
      <c r="H416" t="s">
        <v>49</v>
      </c>
      <c r="I416">
        <v>4</v>
      </c>
    </row>
    <row r="417" spans="1:9" x14ac:dyDescent="0.15">
      <c r="A417" t="s">
        <v>40</v>
      </c>
      <c r="B417" t="s">
        <v>52</v>
      </c>
      <c r="C417">
        <v>0</v>
      </c>
      <c r="D417" s="82">
        <v>45875</v>
      </c>
      <c r="E417" s="85">
        <v>0.1673611111111111</v>
      </c>
      <c r="F417">
        <v>0</v>
      </c>
      <c r="G417">
        <v>53</v>
      </c>
      <c r="H417" t="s">
        <v>49</v>
      </c>
      <c r="I417">
        <v>4</v>
      </c>
    </row>
    <row r="418" spans="1:9" x14ac:dyDescent="0.15">
      <c r="A418" t="s">
        <v>40</v>
      </c>
      <c r="B418" t="s">
        <v>52</v>
      </c>
      <c r="C418">
        <v>0</v>
      </c>
      <c r="D418" s="82">
        <v>45875</v>
      </c>
      <c r="E418" s="85">
        <v>0.16805555555555557</v>
      </c>
      <c r="F418">
        <v>0</v>
      </c>
      <c r="G418">
        <v>53</v>
      </c>
      <c r="H418" t="s">
        <v>49</v>
      </c>
      <c r="I418">
        <v>4</v>
      </c>
    </row>
    <row r="419" spans="1:9" x14ac:dyDescent="0.15">
      <c r="A419" t="s">
        <v>40</v>
      </c>
      <c r="B419" t="s">
        <v>52</v>
      </c>
      <c r="C419">
        <v>0</v>
      </c>
      <c r="D419" s="82">
        <v>45875</v>
      </c>
      <c r="E419" s="85">
        <v>0.16875000000000001</v>
      </c>
      <c r="F419">
        <v>0</v>
      </c>
      <c r="G419">
        <v>53</v>
      </c>
      <c r="H419" t="s">
        <v>49</v>
      </c>
      <c r="I419">
        <v>4</v>
      </c>
    </row>
    <row r="420" spans="1:9" x14ac:dyDescent="0.15">
      <c r="A420" t="s">
        <v>40</v>
      </c>
      <c r="B420" t="s">
        <v>52</v>
      </c>
      <c r="C420">
        <v>0</v>
      </c>
      <c r="D420" s="82">
        <v>45875</v>
      </c>
      <c r="E420" s="85">
        <v>0.16944444444444445</v>
      </c>
      <c r="F420">
        <v>0</v>
      </c>
      <c r="G420">
        <v>53</v>
      </c>
      <c r="H420" t="s">
        <v>49</v>
      </c>
      <c r="I420">
        <v>4</v>
      </c>
    </row>
    <row r="421" spans="1:9" x14ac:dyDescent="0.15">
      <c r="A421" t="s">
        <v>40</v>
      </c>
      <c r="B421" t="s">
        <v>52</v>
      </c>
      <c r="C421">
        <v>1</v>
      </c>
      <c r="D421" s="82">
        <v>45875</v>
      </c>
      <c r="E421" s="85">
        <v>0.20833333333333334</v>
      </c>
      <c r="F421">
        <v>1</v>
      </c>
      <c r="G421">
        <v>53</v>
      </c>
      <c r="H421" t="s">
        <v>49</v>
      </c>
      <c r="I421">
        <v>4</v>
      </c>
    </row>
    <row r="422" spans="1:9" x14ac:dyDescent="0.15">
      <c r="A422" t="s">
        <v>40</v>
      </c>
      <c r="B422" t="s">
        <v>52</v>
      </c>
      <c r="C422">
        <v>0</v>
      </c>
      <c r="D422" s="82">
        <v>45875</v>
      </c>
      <c r="E422" s="85">
        <v>0.20902777777777778</v>
      </c>
      <c r="F422">
        <v>0</v>
      </c>
      <c r="G422">
        <v>53</v>
      </c>
      <c r="H422" t="s">
        <v>49</v>
      </c>
      <c r="I422">
        <v>4</v>
      </c>
    </row>
    <row r="423" spans="1:9" x14ac:dyDescent="0.15">
      <c r="A423" t="s">
        <v>40</v>
      </c>
      <c r="B423" t="s">
        <v>52</v>
      </c>
      <c r="C423">
        <v>0</v>
      </c>
      <c r="D423" s="82">
        <v>45875</v>
      </c>
      <c r="E423" s="85">
        <v>0.20972222222222223</v>
      </c>
      <c r="F423">
        <v>0</v>
      </c>
      <c r="G423">
        <v>53</v>
      </c>
      <c r="H423" t="s">
        <v>49</v>
      </c>
      <c r="I423">
        <v>4</v>
      </c>
    </row>
    <row r="424" spans="1:9" x14ac:dyDescent="0.15">
      <c r="A424" t="s">
        <v>40</v>
      </c>
      <c r="B424" t="s">
        <v>52</v>
      </c>
      <c r="C424">
        <v>0</v>
      </c>
      <c r="D424" s="82">
        <v>45875</v>
      </c>
      <c r="E424" s="85">
        <v>0.21041666666666667</v>
      </c>
      <c r="F424">
        <v>0</v>
      </c>
      <c r="G424">
        <v>53</v>
      </c>
      <c r="H424" t="s">
        <v>49</v>
      </c>
      <c r="I424">
        <v>4</v>
      </c>
    </row>
    <row r="425" spans="1:9" x14ac:dyDescent="0.15">
      <c r="A425" t="s">
        <v>40</v>
      </c>
      <c r="B425" t="s">
        <v>52</v>
      </c>
      <c r="C425">
        <v>0</v>
      </c>
      <c r="D425" s="82">
        <v>45875</v>
      </c>
      <c r="E425" s="85">
        <v>0.21111111111111111</v>
      </c>
      <c r="F425">
        <v>0</v>
      </c>
      <c r="G425">
        <v>53</v>
      </c>
      <c r="H425" t="s">
        <v>49</v>
      </c>
      <c r="I425">
        <v>4</v>
      </c>
    </row>
    <row r="426" spans="1:9" x14ac:dyDescent="0.15">
      <c r="A426" t="s">
        <v>40</v>
      </c>
      <c r="B426" t="s">
        <v>52</v>
      </c>
      <c r="C426">
        <v>1</v>
      </c>
      <c r="D426" s="82">
        <v>45875</v>
      </c>
      <c r="E426" s="85">
        <v>0.25</v>
      </c>
      <c r="F426">
        <v>1</v>
      </c>
      <c r="G426">
        <v>53</v>
      </c>
      <c r="H426" t="s">
        <v>49</v>
      </c>
      <c r="I426">
        <v>4</v>
      </c>
    </row>
    <row r="427" spans="1:9" x14ac:dyDescent="0.15">
      <c r="A427" t="s">
        <v>40</v>
      </c>
      <c r="B427" t="s">
        <v>52</v>
      </c>
      <c r="C427">
        <v>0</v>
      </c>
      <c r="D427" s="82">
        <v>45875</v>
      </c>
      <c r="E427" s="85">
        <v>0.25069444444444444</v>
      </c>
      <c r="F427">
        <v>0</v>
      </c>
      <c r="G427">
        <v>53</v>
      </c>
      <c r="H427" t="s">
        <v>49</v>
      </c>
      <c r="I427">
        <v>4</v>
      </c>
    </row>
    <row r="428" spans="1:9" x14ac:dyDescent="0.15">
      <c r="A428" t="s">
        <v>40</v>
      </c>
      <c r="B428" t="s">
        <v>52</v>
      </c>
      <c r="C428">
        <v>0</v>
      </c>
      <c r="D428" s="82">
        <v>45875</v>
      </c>
      <c r="E428" s="85">
        <v>0.25138888888888888</v>
      </c>
      <c r="F428">
        <v>0</v>
      </c>
      <c r="G428">
        <v>53</v>
      </c>
      <c r="H428" t="s">
        <v>49</v>
      </c>
      <c r="I428">
        <v>4</v>
      </c>
    </row>
    <row r="429" spans="1:9" x14ac:dyDescent="0.15">
      <c r="A429" t="s">
        <v>40</v>
      </c>
      <c r="B429" t="s">
        <v>52</v>
      </c>
      <c r="C429">
        <v>0</v>
      </c>
      <c r="D429" s="82">
        <v>45875</v>
      </c>
      <c r="E429" s="85">
        <v>0.25208333333333333</v>
      </c>
      <c r="F429">
        <v>0</v>
      </c>
      <c r="G429">
        <v>53</v>
      </c>
      <c r="H429" t="s">
        <v>49</v>
      </c>
      <c r="I429">
        <v>4</v>
      </c>
    </row>
    <row r="430" spans="1:9" x14ac:dyDescent="0.15">
      <c r="A430" t="s">
        <v>40</v>
      </c>
      <c r="B430" t="s">
        <v>52</v>
      </c>
      <c r="C430">
        <v>0</v>
      </c>
      <c r="D430" s="82">
        <v>45875</v>
      </c>
      <c r="E430" s="85">
        <v>0.25277777777777777</v>
      </c>
      <c r="F430">
        <v>0</v>
      </c>
      <c r="G430">
        <v>53</v>
      </c>
      <c r="H430" t="s">
        <v>49</v>
      </c>
      <c r="I430">
        <v>4</v>
      </c>
    </row>
    <row r="431" spans="1:9" x14ac:dyDescent="0.15">
      <c r="A431" t="s">
        <v>40</v>
      </c>
      <c r="B431" t="s">
        <v>52</v>
      </c>
      <c r="C431">
        <v>1</v>
      </c>
      <c r="D431" s="82">
        <v>45875</v>
      </c>
      <c r="E431" s="85">
        <v>0.29166666666666669</v>
      </c>
      <c r="F431">
        <v>1</v>
      </c>
      <c r="G431">
        <v>53</v>
      </c>
      <c r="H431" t="s">
        <v>49</v>
      </c>
      <c r="I431">
        <v>4</v>
      </c>
    </row>
    <row r="432" spans="1:9" x14ac:dyDescent="0.15">
      <c r="A432" t="s">
        <v>40</v>
      </c>
      <c r="B432" t="s">
        <v>52</v>
      </c>
      <c r="C432">
        <v>0</v>
      </c>
      <c r="D432" s="82">
        <v>45875</v>
      </c>
      <c r="E432" s="85">
        <v>0.29305555555555557</v>
      </c>
      <c r="F432">
        <v>0</v>
      </c>
      <c r="G432">
        <v>53</v>
      </c>
      <c r="H432" t="s">
        <v>49</v>
      </c>
      <c r="I432">
        <v>4</v>
      </c>
    </row>
    <row r="433" spans="1:9" x14ac:dyDescent="0.15">
      <c r="A433" t="s">
        <v>40</v>
      </c>
      <c r="B433" t="s">
        <v>52</v>
      </c>
      <c r="C433">
        <v>0</v>
      </c>
      <c r="D433" s="82">
        <v>45875</v>
      </c>
      <c r="E433" s="85">
        <v>0.29444444444444445</v>
      </c>
      <c r="F433">
        <v>0</v>
      </c>
      <c r="G433">
        <v>53</v>
      </c>
      <c r="H433" t="s">
        <v>49</v>
      </c>
      <c r="I433">
        <v>4</v>
      </c>
    </row>
    <row r="434" spans="1:9" x14ac:dyDescent="0.15">
      <c r="A434" t="s">
        <v>40</v>
      </c>
      <c r="B434" t="s">
        <v>52</v>
      </c>
      <c r="C434">
        <v>1</v>
      </c>
      <c r="D434" s="82">
        <v>45875</v>
      </c>
      <c r="E434" s="85">
        <v>0.33333333333333331</v>
      </c>
      <c r="F434">
        <v>1</v>
      </c>
      <c r="G434">
        <v>53</v>
      </c>
      <c r="H434" t="s">
        <v>49</v>
      </c>
      <c r="I434">
        <v>4</v>
      </c>
    </row>
    <row r="435" spans="1:9" x14ac:dyDescent="0.15">
      <c r="A435" t="s">
        <v>40</v>
      </c>
      <c r="B435" t="s">
        <v>52</v>
      </c>
      <c r="C435">
        <v>0</v>
      </c>
      <c r="D435" s="82">
        <v>45875</v>
      </c>
      <c r="E435" s="85">
        <v>0.33402777777777776</v>
      </c>
      <c r="F435">
        <v>0</v>
      </c>
      <c r="G435">
        <v>53</v>
      </c>
      <c r="H435" t="s">
        <v>49</v>
      </c>
      <c r="I435">
        <v>4</v>
      </c>
    </row>
    <row r="436" spans="1:9" x14ac:dyDescent="0.15">
      <c r="A436" t="s">
        <v>40</v>
      </c>
      <c r="B436" t="s">
        <v>52</v>
      </c>
      <c r="C436">
        <v>0</v>
      </c>
      <c r="D436" s="82">
        <v>45875</v>
      </c>
      <c r="E436" s="85">
        <v>0.3347222222222222</v>
      </c>
      <c r="F436">
        <v>0</v>
      </c>
      <c r="G436">
        <v>53</v>
      </c>
      <c r="H436" t="s">
        <v>49</v>
      </c>
      <c r="I436">
        <v>4</v>
      </c>
    </row>
    <row r="437" spans="1:9" x14ac:dyDescent="0.15">
      <c r="A437" t="s">
        <v>40</v>
      </c>
      <c r="B437" t="s">
        <v>52</v>
      </c>
      <c r="C437">
        <v>0</v>
      </c>
      <c r="D437" s="82">
        <v>45875</v>
      </c>
      <c r="E437" s="85">
        <v>0.33541666666666664</v>
      </c>
      <c r="F437">
        <v>0</v>
      </c>
      <c r="G437">
        <v>53</v>
      </c>
      <c r="H437" t="s">
        <v>49</v>
      </c>
      <c r="I437">
        <v>4</v>
      </c>
    </row>
    <row r="438" spans="1:9" x14ac:dyDescent="0.15">
      <c r="A438" t="s">
        <v>40</v>
      </c>
      <c r="B438" t="s">
        <v>52</v>
      </c>
      <c r="C438">
        <v>0</v>
      </c>
      <c r="D438" s="82">
        <v>45875</v>
      </c>
      <c r="E438" s="85">
        <v>0.33611111111111114</v>
      </c>
      <c r="F438">
        <v>0</v>
      </c>
      <c r="G438">
        <v>53</v>
      </c>
      <c r="H438" t="s">
        <v>49</v>
      </c>
      <c r="I438">
        <v>4</v>
      </c>
    </row>
    <row r="439" spans="1:9" x14ac:dyDescent="0.15">
      <c r="A439" t="s">
        <v>40</v>
      </c>
      <c r="B439" t="s">
        <v>52</v>
      </c>
      <c r="C439">
        <v>1</v>
      </c>
      <c r="D439" s="82">
        <v>45875</v>
      </c>
      <c r="E439" s="85">
        <v>0.41736111111111113</v>
      </c>
      <c r="F439">
        <v>1</v>
      </c>
      <c r="G439">
        <v>53</v>
      </c>
      <c r="H439" t="s">
        <v>49</v>
      </c>
      <c r="I439">
        <v>4</v>
      </c>
    </row>
    <row r="440" spans="1:9" x14ac:dyDescent="0.15">
      <c r="A440" t="s">
        <v>40</v>
      </c>
      <c r="B440" t="s">
        <v>52</v>
      </c>
      <c r="C440">
        <v>0</v>
      </c>
      <c r="D440" s="82">
        <v>45875</v>
      </c>
      <c r="E440" s="85">
        <v>0.41805555555555557</v>
      </c>
      <c r="F440">
        <v>0</v>
      </c>
      <c r="G440">
        <v>53</v>
      </c>
      <c r="H440" t="s">
        <v>49</v>
      </c>
      <c r="I440">
        <v>4</v>
      </c>
    </row>
    <row r="441" spans="1:9" x14ac:dyDescent="0.15">
      <c r="A441" t="s">
        <v>40</v>
      </c>
      <c r="B441" t="s">
        <v>52</v>
      </c>
      <c r="C441">
        <v>0</v>
      </c>
      <c r="D441" s="82">
        <v>45875</v>
      </c>
      <c r="E441" s="85">
        <v>0.41944444444444445</v>
      </c>
      <c r="F441">
        <v>0</v>
      </c>
      <c r="G441">
        <v>53</v>
      </c>
      <c r="H441" t="s">
        <v>49</v>
      </c>
      <c r="I441">
        <v>4</v>
      </c>
    </row>
    <row r="442" spans="1:9" x14ac:dyDescent="0.15">
      <c r="A442" t="s">
        <v>40</v>
      </c>
      <c r="B442" t="s">
        <v>52</v>
      </c>
      <c r="C442">
        <v>0</v>
      </c>
      <c r="D442" s="82">
        <v>45875</v>
      </c>
      <c r="E442" s="85">
        <v>0.70833333333333337</v>
      </c>
      <c r="F442">
        <v>1</v>
      </c>
      <c r="G442">
        <v>53</v>
      </c>
      <c r="H442" t="s">
        <v>49</v>
      </c>
      <c r="I442">
        <v>4</v>
      </c>
    </row>
    <row r="443" spans="1:9" x14ac:dyDescent="0.15">
      <c r="A443" t="s">
        <v>40</v>
      </c>
      <c r="B443" t="s">
        <v>52</v>
      </c>
      <c r="C443">
        <v>0</v>
      </c>
      <c r="D443" s="82">
        <v>45875</v>
      </c>
      <c r="E443" s="85">
        <v>0.70902777777777781</v>
      </c>
      <c r="F443">
        <v>0</v>
      </c>
      <c r="G443">
        <v>53</v>
      </c>
      <c r="H443" t="s">
        <v>49</v>
      </c>
      <c r="I443">
        <v>4</v>
      </c>
    </row>
    <row r="444" spans="1:9" x14ac:dyDescent="0.15">
      <c r="A444" t="s">
        <v>40</v>
      </c>
      <c r="B444" t="s">
        <v>52</v>
      </c>
      <c r="C444">
        <v>0</v>
      </c>
      <c r="D444" s="82">
        <v>45875</v>
      </c>
      <c r="E444" s="85">
        <v>0.70972222222222225</v>
      </c>
      <c r="F444">
        <v>0</v>
      </c>
      <c r="G444">
        <v>53</v>
      </c>
      <c r="H444" t="s">
        <v>49</v>
      </c>
      <c r="I444">
        <v>4</v>
      </c>
    </row>
    <row r="445" spans="1:9" x14ac:dyDescent="0.15">
      <c r="A445" t="s">
        <v>40</v>
      </c>
      <c r="B445" t="s">
        <v>52</v>
      </c>
      <c r="C445">
        <v>0</v>
      </c>
      <c r="D445" s="82">
        <v>45875</v>
      </c>
      <c r="E445" s="85">
        <v>0.71111111111111114</v>
      </c>
      <c r="F445">
        <v>0</v>
      </c>
      <c r="G445">
        <v>53</v>
      </c>
      <c r="H445" t="s">
        <v>49</v>
      </c>
      <c r="I445">
        <v>4</v>
      </c>
    </row>
    <row r="446" spans="1:9" x14ac:dyDescent="0.15">
      <c r="A446" t="s">
        <v>40</v>
      </c>
      <c r="B446" t="s">
        <v>52</v>
      </c>
      <c r="C446">
        <v>0</v>
      </c>
      <c r="D446" s="82">
        <v>45876</v>
      </c>
      <c r="E446" s="85">
        <v>4.2361111111111113E-2</v>
      </c>
      <c r="F446">
        <v>1</v>
      </c>
      <c r="G446">
        <v>50</v>
      </c>
      <c r="H446" t="s">
        <v>49</v>
      </c>
      <c r="I446">
        <v>4</v>
      </c>
    </row>
    <row r="447" spans="1:9" x14ac:dyDescent="0.15">
      <c r="A447" t="s">
        <v>40</v>
      </c>
      <c r="B447" t="s">
        <v>52</v>
      </c>
      <c r="C447">
        <v>0</v>
      </c>
      <c r="D447" s="82">
        <v>45876</v>
      </c>
      <c r="E447" s="85">
        <v>4.3749999999999997E-2</v>
      </c>
      <c r="F447">
        <v>0</v>
      </c>
      <c r="G447">
        <v>50</v>
      </c>
      <c r="H447" t="s">
        <v>49</v>
      </c>
      <c r="I447">
        <v>4</v>
      </c>
    </row>
    <row r="448" spans="1:9" x14ac:dyDescent="0.15">
      <c r="A448" t="s">
        <v>40</v>
      </c>
      <c r="B448" t="s">
        <v>52</v>
      </c>
      <c r="C448">
        <v>0</v>
      </c>
      <c r="D448" s="82">
        <v>45876</v>
      </c>
      <c r="E448" s="85">
        <v>0.125</v>
      </c>
      <c r="F448">
        <v>1</v>
      </c>
      <c r="G448">
        <v>50</v>
      </c>
      <c r="H448" t="s">
        <v>49</v>
      </c>
      <c r="I448">
        <v>4</v>
      </c>
    </row>
    <row r="449" spans="1:9" x14ac:dyDescent="0.15">
      <c r="A449" t="s">
        <v>40</v>
      </c>
      <c r="B449" t="s">
        <v>52</v>
      </c>
      <c r="C449">
        <v>0</v>
      </c>
      <c r="D449" s="82">
        <v>45876</v>
      </c>
      <c r="E449" s="85">
        <v>0.12569444444444444</v>
      </c>
      <c r="F449">
        <v>0</v>
      </c>
      <c r="G449">
        <v>50</v>
      </c>
      <c r="H449" t="s">
        <v>49</v>
      </c>
      <c r="I449">
        <v>4</v>
      </c>
    </row>
    <row r="450" spans="1:9" x14ac:dyDescent="0.15">
      <c r="A450" t="s">
        <v>40</v>
      </c>
      <c r="B450" t="s">
        <v>52</v>
      </c>
      <c r="C450">
        <v>0</v>
      </c>
      <c r="D450" s="82">
        <v>45876</v>
      </c>
      <c r="E450" s="85">
        <v>0.12638888888888888</v>
      </c>
      <c r="F450">
        <v>0</v>
      </c>
      <c r="G450">
        <v>50</v>
      </c>
      <c r="H450" t="s">
        <v>49</v>
      </c>
      <c r="I450">
        <v>4</v>
      </c>
    </row>
    <row r="451" spans="1:9" x14ac:dyDescent="0.15">
      <c r="A451" t="s">
        <v>40</v>
      </c>
      <c r="B451" t="s">
        <v>52</v>
      </c>
      <c r="C451">
        <v>0</v>
      </c>
      <c r="D451" s="82">
        <v>45876</v>
      </c>
      <c r="E451" s="85">
        <v>0.12777777777777777</v>
      </c>
      <c r="F451">
        <v>0</v>
      </c>
      <c r="G451">
        <v>50</v>
      </c>
      <c r="H451" t="s">
        <v>49</v>
      </c>
      <c r="I451">
        <v>4</v>
      </c>
    </row>
    <row r="452" spans="1:9" x14ac:dyDescent="0.15">
      <c r="A452" t="s">
        <v>40</v>
      </c>
      <c r="B452" t="s">
        <v>52</v>
      </c>
      <c r="C452">
        <v>1</v>
      </c>
      <c r="D452" s="82">
        <v>45876</v>
      </c>
      <c r="E452" s="85">
        <v>0.25069444444444444</v>
      </c>
      <c r="F452">
        <v>1</v>
      </c>
      <c r="G452">
        <v>50</v>
      </c>
      <c r="H452" t="s">
        <v>49</v>
      </c>
      <c r="I452">
        <v>4</v>
      </c>
    </row>
    <row r="453" spans="1:9" x14ac:dyDescent="0.15">
      <c r="A453" t="s">
        <v>40</v>
      </c>
      <c r="B453" t="s">
        <v>52</v>
      </c>
      <c r="C453">
        <v>0</v>
      </c>
      <c r="D453" s="82">
        <v>45876</v>
      </c>
      <c r="E453" s="85">
        <v>0.25208333333333333</v>
      </c>
      <c r="F453">
        <v>0</v>
      </c>
      <c r="G453">
        <v>50</v>
      </c>
      <c r="H453" t="s">
        <v>49</v>
      </c>
      <c r="I453">
        <v>4</v>
      </c>
    </row>
    <row r="454" spans="1:9" x14ac:dyDescent="0.15">
      <c r="A454" t="s">
        <v>40</v>
      </c>
      <c r="B454" t="s">
        <v>52</v>
      </c>
      <c r="C454">
        <v>0</v>
      </c>
      <c r="D454" s="82">
        <v>45876</v>
      </c>
      <c r="E454" s="85">
        <v>0.91874999999999996</v>
      </c>
      <c r="F454">
        <v>1</v>
      </c>
      <c r="G454">
        <v>50</v>
      </c>
      <c r="H454" t="s">
        <v>49</v>
      </c>
      <c r="I454">
        <v>4</v>
      </c>
    </row>
    <row r="455" spans="1:9" x14ac:dyDescent="0.15">
      <c r="A455" t="s">
        <v>40</v>
      </c>
      <c r="B455" t="s">
        <v>52</v>
      </c>
      <c r="C455">
        <v>0</v>
      </c>
      <c r="D455" s="82">
        <v>45876</v>
      </c>
      <c r="E455" s="85">
        <v>0.95833333333333337</v>
      </c>
      <c r="F455">
        <v>1</v>
      </c>
      <c r="G455">
        <v>50</v>
      </c>
      <c r="H455" t="s">
        <v>49</v>
      </c>
      <c r="I455">
        <v>4</v>
      </c>
    </row>
    <row r="456" spans="1:9" x14ac:dyDescent="0.15">
      <c r="A456" t="s">
        <v>40</v>
      </c>
      <c r="B456" t="s">
        <v>52</v>
      </c>
      <c r="C456">
        <v>0</v>
      </c>
      <c r="D456" s="82">
        <v>45876</v>
      </c>
      <c r="E456" s="85">
        <v>0.95902777777777781</v>
      </c>
      <c r="F456">
        <v>0</v>
      </c>
      <c r="G456">
        <v>50</v>
      </c>
      <c r="H456" t="s">
        <v>49</v>
      </c>
      <c r="I456">
        <v>4</v>
      </c>
    </row>
    <row r="457" spans="1:9" x14ac:dyDescent="0.15">
      <c r="A457" t="s">
        <v>40</v>
      </c>
      <c r="B457" t="s">
        <v>52</v>
      </c>
      <c r="C457">
        <v>0</v>
      </c>
      <c r="D457" s="82">
        <v>45876</v>
      </c>
      <c r="E457" s="85">
        <v>0.95972222222222225</v>
      </c>
      <c r="F457">
        <v>0</v>
      </c>
      <c r="G457">
        <v>50</v>
      </c>
      <c r="H457" t="s">
        <v>49</v>
      </c>
      <c r="I457">
        <v>4</v>
      </c>
    </row>
    <row r="458" spans="1:9" x14ac:dyDescent="0.15">
      <c r="A458" t="s">
        <v>40</v>
      </c>
      <c r="B458" t="s">
        <v>52</v>
      </c>
      <c r="C458">
        <v>0</v>
      </c>
      <c r="D458" s="82">
        <v>45876</v>
      </c>
      <c r="E458" s="85">
        <v>0.9604166666666667</v>
      </c>
      <c r="F458">
        <v>0</v>
      </c>
      <c r="G458">
        <v>50</v>
      </c>
      <c r="H458" t="s">
        <v>49</v>
      </c>
      <c r="I458">
        <v>4</v>
      </c>
    </row>
    <row r="459" spans="1:9" x14ac:dyDescent="0.15">
      <c r="A459" t="s">
        <v>40</v>
      </c>
      <c r="B459" t="s">
        <v>52</v>
      </c>
      <c r="C459">
        <v>0</v>
      </c>
      <c r="D459" s="82">
        <v>45877</v>
      </c>
      <c r="E459" s="85">
        <v>0</v>
      </c>
      <c r="F459">
        <v>1</v>
      </c>
      <c r="G459">
        <v>13</v>
      </c>
      <c r="H459" t="s">
        <v>49</v>
      </c>
      <c r="I459">
        <v>4</v>
      </c>
    </row>
    <row r="460" spans="1:9" x14ac:dyDescent="0.15">
      <c r="A460" t="s">
        <v>40</v>
      </c>
      <c r="B460" t="s">
        <v>52</v>
      </c>
      <c r="C460">
        <v>0</v>
      </c>
      <c r="D460" s="82">
        <v>45877</v>
      </c>
      <c r="E460" s="85">
        <v>1.3888888888888889E-3</v>
      </c>
      <c r="F460">
        <v>0</v>
      </c>
      <c r="G460">
        <v>13</v>
      </c>
      <c r="H460" t="s">
        <v>49</v>
      </c>
      <c r="I460">
        <v>4</v>
      </c>
    </row>
    <row r="461" spans="1:9" x14ac:dyDescent="0.15">
      <c r="A461" t="s">
        <v>40</v>
      </c>
      <c r="B461" t="s">
        <v>52</v>
      </c>
      <c r="C461">
        <v>0</v>
      </c>
      <c r="D461" s="82">
        <v>45877</v>
      </c>
      <c r="E461" s="85">
        <v>2.7777777777777779E-3</v>
      </c>
      <c r="F461">
        <v>0</v>
      </c>
      <c r="G461">
        <v>13</v>
      </c>
      <c r="H461" t="s">
        <v>49</v>
      </c>
      <c r="I461">
        <v>4</v>
      </c>
    </row>
    <row r="462" spans="1:9" x14ac:dyDescent="0.15">
      <c r="A462" t="s">
        <v>40</v>
      </c>
      <c r="B462" t="s">
        <v>52</v>
      </c>
      <c r="C462">
        <v>0</v>
      </c>
      <c r="D462" s="82">
        <v>45877</v>
      </c>
      <c r="E462" s="85">
        <v>4.1666666666666664E-2</v>
      </c>
      <c r="F462">
        <v>1</v>
      </c>
      <c r="G462">
        <v>13</v>
      </c>
      <c r="H462" t="s">
        <v>49</v>
      </c>
      <c r="I462">
        <v>4</v>
      </c>
    </row>
    <row r="463" spans="1:9" x14ac:dyDescent="0.15">
      <c r="A463" t="s">
        <v>40</v>
      </c>
      <c r="B463" t="s">
        <v>52</v>
      </c>
      <c r="C463">
        <v>0</v>
      </c>
      <c r="D463" s="82">
        <v>45877</v>
      </c>
      <c r="E463" s="85">
        <v>4.2361111111111113E-2</v>
      </c>
      <c r="F463">
        <v>0</v>
      </c>
      <c r="G463">
        <v>13</v>
      </c>
      <c r="H463" t="s">
        <v>49</v>
      </c>
      <c r="I463">
        <v>4</v>
      </c>
    </row>
    <row r="464" spans="1:9" x14ac:dyDescent="0.15">
      <c r="A464" t="s">
        <v>40</v>
      </c>
      <c r="B464" t="s">
        <v>52</v>
      </c>
      <c r="C464">
        <v>0</v>
      </c>
      <c r="D464" s="82">
        <v>45877</v>
      </c>
      <c r="E464" s="85">
        <v>4.3055555555555555E-2</v>
      </c>
      <c r="F464">
        <v>0</v>
      </c>
      <c r="G464">
        <v>13</v>
      </c>
      <c r="H464" t="s">
        <v>49</v>
      </c>
      <c r="I464">
        <v>4</v>
      </c>
    </row>
    <row r="465" spans="1:9" x14ac:dyDescent="0.15">
      <c r="A465" t="s">
        <v>40</v>
      </c>
      <c r="B465" t="s">
        <v>52</v>
      </c>
      <c r="C465">
        <v>0</v>
      </c>
      <c r="D465" s="82">
        <v>45877</v>
      </c>
      <c r="E465" s="85">
        <v>4.3749999999999997E-2</v>
      </c>
      <c r="F465">
        <v>0</v>
      </c>
      <c r="G465">
        <v>13</v>
      </c>
      <c r="H465" t="s">
        <v>49</v>
      </c>
      <c r="I465">
        <v>4</v>
      </c>
    </row>
    <row r="466" spans="1:9" x14ac:dyDescent="0.15">
      <c r="A466" t="s">
        <v>40</v>
      </c>
      <c r="B466" t="s">
        <v>52</v>
      </c>
      <c r="C466">
        <v>0</v>
      </c>
      <c r="D466" s="82">
        <v>45877</v>
      </c>
      <c r="E466" s="85">
        <v>8.3333333333333329E-2</v>
      </c>
      <c r="F466">
        <v>1</v>
      </c>
      <c r="G466">
        <v>13</v>
      </c>
      <c r="H466" t="s">
        <v>49</v>
      </c>
      <c r="I466">
        <v>4</v>
      </c>
    </row>
    <row r="467" spans="1:9" x14ac:dyDescent="0.15">
      <c r="A467" t="s">
        <v>40</v>
      </c>
      <c r="B467" t="s">
        <v>52</v>
      </c>
      <c r="C467">
        <v>0</v>
      </c>
      <c r="D467" s="82">
        <v>45877</v>
      </c>
      <c r="E467" s="85">
        <v>8.4027777777777785E-2</v>
      </c>
      <c r="F467">
        <v>0</v>
      </c>
      <c r="G467">
        <v>13</v>
      </c>
      <c r="H467" t="s">
        <v>49</v>
      </c>
      <c r="I467">
        <v>4</v>
      </c>
    </row>
    <row r="468" spans="1:9" x14ac:dyDescent="0.15">
      <c r="A468" t="s">
        <v>40</v>
      </c>
      <c r="B468" t="s">
        <v>52</v>
      </c>
      <c r="C468">
        <v>0</v>
      </c>
      <c r="D468" s="82">
        <v>45877</v>
      </c>
      <c r="E468" s="85">
        <v>8.4722222222222227E-2</v>
      </c>
      <c r="F468">
        <v>0</v>
      </c>
      <c r="G468">
        <v>13</v>
      </c>
      <c r="H468" t="s">
        <v>49</v>
      </c>
      <c r="I468">
        <v>4</v>
      </c>
    </row>
    <row r="469" spans="1:9" x14ac:dyDescent="0.15">
      <c r="A469" t="s">
        <v>40</v>
      </c>
      <c r="B469" t="s">
        <v>52</v>
      </c>
      <c r="C469">
        <v>0</v>
      </c>
      <c r="D469" s="82">
        <v>45877</v>
      </c>
      <c r="E469" s="85">
        <v>8.5416666666666669E-2</v>
      </c>
      <c r="F469">
        <v>0</v>
      </c>
      <c r="G469">
        <v>13</v>
      </c>
      <c r="H469" t="s">
        <v>49</v>
      </c>
      <c r="I469">
        <v>4</v>
      </c>
    </row>
    <row r="470" spans="1:9" x14ac:dyDescent="0.15">
      <c r="A470" t="s">
        <v>40</v>
      </c>
      <c r="B470" t="s">
        <v>52</v>
      </c>
      <c r="C470">
        <v>0</v>
      </c>
      <c r="D470" s="82">
        <v>45877</v>
      </c>
      <c r="E470" s="85">
        <v>8.611111111111111E-2</v>
      </c>
      <c r="F470">
        <v>0</v>
      </c>
      <c r="G470">
        <v>13</v>
      </c>
      <c r="H470" t="s">
        <v>49</v>
      </c>
      <c r="I470">
        <v>4</v>
      </c>
    </row>
    <row r="471" spans="1:9" x14ac:dyDescent="0.15">
      <c r="A471" t="s">
        <v>40</v>
      </c>
      <c r="B471" t="s">
        <v>52</v>
      </c>
      <c r="C471">
        <v>0</v>
      </c>
      <c r="D471" s="82">
        <v>45877</v>
      </c>
      <c r="E471" s="85">
        <v>0.125</v>
      </c>
      <c r="F471">
        <v>1</v>
      </c>
      <c r="G471">
        <v>13</v>
      </c>
      <c r="H471" t="s">
        <v>49</v>
      </c>
      <c r="I471">
        <v>4</v>
      </c>
    </row>
    <row r="472" spans="1:9" x14ac:dyDescent="0.15">
      <c r="A472" t="s">
        <v>40</v>
      </c>
      <c r="B472" t="s">
        <v>52</v>
      </c>
      <c r="C472">
        <v>0</v>
      </c>
      <c r="D472" s="82">
        <v>45877</v>
      </c>
      <c r="E472" s="85">
        <v>0.12569444444444444</v>
      </c>
      <c r="F472">
        <v>0</v>
      </c>
      <c r="G472">
        <v>13</v>
      </c>
      <c r="H472" t="s">
        <v>49</v>
      </c>
      <c r="I472">
        <v>4</v>
      </c>
    </row>
    <row r="473" spans="1:9" x14ac:dyDescent="0.15">
      <c r="A473" t="s">
        <v>40</v>
      </c>
      <c r="B473" t="s">
        <v>52</v>
      </c>
      <c r="C473">
        <v>0</v>
      </c>
      <c r="D473" s="82">
        <v>45877</v>
      </c>
      <c r="E473" s="85">
        <v>0.12638888888888888</v>
      </c>
      <c r="F473">
        <v>0</v>
      </c>
      <c r="G473">
        <v>13</v>
      </c>
      <c r="H473" t="s">
        <v>49</v>
      </c>
      <c r="I473">
        <v>4</v>
      </c>
    </row>
    <row r="474" spans="1:9" x14ac:dyDescent="0.15">
      <c r="A474" t="s">
        <v>40</v>
      </c>
      <c r="B474" t="s">
        <v>52</v>
      </c>
      <c r="C474">
        <v>0</v>
      </c>
      <c r="D474" s="82">
        <v>45877</v>
      </c>
      <c r="E474" s="85">
        <v>0.12708333333333333</v>
      </c>
      <c r="F474">
        <v>0</v>
      </c>
      <c r="G474">
        <v>13</v>
      </c>
      <c r="H474" t="s">
        <v>49</v>
      </c>
      <c r="I474">
        <v>4</v>
      </c>
    </row>
    <row r="475" spans="1:9" x14ac:dyDescent="0.15">
      <c r="A475" t="s">
        <v>40</v>
      </c>
      <c r="B475" t="s">
        <v>52</v>
      </c>
      <c r="C475">
        <v>0</v>
      </c>
      <c r="D475" s="82">
        <v>45877</v>
      </c>
      <c r="E475" s="85">
        <v>0.12777777777777777</v>
      </c>
      <c r="F475">
        <v>0</v>
      </c>
      <c r="G475">
        <v>13</v>
      </c>
      <c r="H475" t="s">
        <v>49</v>
      </c>
      <c r="I475">
        <v>4</v>
      </c>
    </row>
    <row r="476" spans="1:9" x14ac:dyDescent="0.15">
      <c r="A476" t="s">
        <v>40</v>
      </c>
      <c r="B476" t="s">
        <v>52</v>
      </c>
      <c r="C476">
        <v>1</v>
      </c>
      <c r="D476" s="82">
        <v>45877</v>
      </c>
      <c r="E476" s="85">
        <v>0.16666666666666666</v>
      </c>
      <c r="F476">
        <v>1</v>
      </c>
      <c r="G476">
        <v>13</v>
      </c>
      <c r="H476" t="s">
        <v>49</v>
      </c>
      <c r="I476">
        <v>4</v>
      </c>
    </row>
    <row r="477" spans="1:9" x14ac:dyDescent="0.15">
      <c r="A477" t="s">
        <v>40</v>
      </c>
      <c r="B477" t="s">
        <v>52</v>
      </c>
      <c r="C477">
        <v>0</v>
      </c>
      <c r="D477" s="82">
        <v>45877</v>
      </c>
      <c r="E477" s="85">
        <v>0.1673611111111111</v>
      </c>
      <c r="F477">
        <v>0</v>
      </c>
      <c r="G477">
        <v>13</v>
      </c>
      <c r="H477" t="s">
        <v>49</v>
      </c>
      <c r="I477">
        <v>4</v>
      </c>
    </row>
    <row r="478" spans="1:9" x14ac:dyDescent="0.15">
      <c r="A478" t="s">
        <v>40</v>
      </c>
      <c r="B478" t="s">
        <v>52</v>
      </c>
      <c r="C478">
        <v>0</v>
      </c>
      <c r="D478" s="82">
        <v>45877</v>
      </c>
      <c r="E478" s="85">
        <v>0.16805555555555557</v>
      </c>
      <c r="F478">
        <v>0</v>
      </c>
      <c r="G478">
        <v>13</v>
      </c>
      <c r="H478" t="s">
        <v>49</v>
      </c>
      <c r="I478">
        <v>4</v>
      </c>
    </row>
    <row r="479" spans="1:9" x14ac:dyDescent="0.15">
      <c r="A479" t="s">
        <v>40</v>
      </c>
      <c r="B479" t="s">
        <v>52</v>
      </c>
      <c r="C479">
        <v>0</v>
      </c>
      <c r="D479" s="82">
        <v>45877</v>
      </c>
      <c r="E479" s="85">
        <v>0.16875000000000001</v>
      </c>
      <c r="F479">
        <v>0</v>
      </c>
      <c r="G479">
        <v>13</v>
      </c>
      <c r="H479" t="s">
        <v>49</v>
      </c>
      <c r="I479">
        <v>4</v>
      </c>
    </row>
    <row r="480" spans="1:9" x14ac:dyDescent="0.15">
      <c r="A480" t="s">
        <v>40</v>
      </c>
      <c r="B480" t="s">
        <v>52</v>
      </c>
      <c r="C480">
        <v>0</v>
      </c>
      <c r="D480" s="82">
        <v>45877</v>
      </c>
      <c r="E480" s="85">
        <v>0.16944444444444445</v>
      </c>
      <c r="F480">
        <v>0</v>
      </c>
      <c r="G480">
        <v>13</v>
      </c>
      <c r="H480" t="s">
        <v>49</v>
      </c>
      <c r="I480">
        <v>4</v>
      </c>
    </row>
    <row r="481" spans="1:9" x14ac:dyDescent="0.15">
      <c r="A481" t="s">
        <v>40</v>
      </c>
      <c r="B481" t="s">
        <v>52</v>
      </c>
      <c r="C481">
        <v>0</v>
      </c>
      <c r="D481" s="82">
        <v>45877</v>
      </c>
      <c r="E481" s="85">
        <v>0.20833333333333334</v>
      </c>
      <c r="F481">
        <v>1</v>
      </c>
      <c r="G481">
        <v>13</v>
      </c>
      <c r="H481" t="s">
        <v>49</v>
      </c>
      <c r="I481">
        <v>4</v>
      </c>
    </row>
    <row r="482" spans="1:9" x14ac:dyDescent="0.15">
      <c r="A482" t="s">
        <v>40</v>
      </c>
      <c r="B482" t="s">
        <v>52</v>
      </c>
      <c r="C482">
        <v>0</v>
      </c>
      <c r="D482" s="82">
        <v>45877</v>
      </c>
      <c r="E482" s="85">
        <v>0.20902777777777778</v>
      </c>
      <c r="F482">
        <v>0</v>
      </c>
      <c r="G482">
        <v>13</v>
      </c>
      <c r="H482" t="s">
        <v>49</v>
      </c>
      <c r="I482">
        <v>4</v>
      </c>
    </row>
    <row r="483" spans="1:9" x14ac:dyDescent="0.15">
      <c r="A483" t="s">
        <v>40</v>
      </c>
      <c r="B483" t="s">
        <v>52</v>
      </c>
      <c r="C483">
        <v>0</v>
      </c>
      <c r="D483" s="82">
        <v>45877</v>
      </c>
      <c r="E483" s="85">
        <v>0.20972222222222223</v>
      </c>
      <c r="F483">
        <v>0</v>
      </c>
      <c r="G483">
        <v>13</v>
      </c>
      <c r="H483" t="s">
        <v>49</v>
      </c>
      <c r="I483">
        <v>4</v>
      </c>
    </row>
    <row r="484" spans="1:9" x14ac:dyDescent="0.15">
      <c r="A484" t="s">
        <v>40</v>
      </c>
      <c r="B484" t="s">
        <v>52</v>
      </c>
      <c r="C484">
        <v>0</v>
      </c>
      <c r="D484" s="82">
        <v>45877</v>
      </c>
      <c r="E484" s="85">
        <v>0.21041666666666667</v>
      </c>
      <c r="F484">
        <v>0</v>
      </c>
      <c r="G484">
        <v>13</v>
      </c>
      <c r="H484" t="s">
        <v>49</v>
      </c>
      <c r="I484">
        <v>4</v>
      </c>
    </row>
    <row r="485" spans="1:9" x14ac:dyDescent="0.15">
      <c r="A485" t="s">
        <v>40</v>
      </c>
      <c r="B485" t="s">
        <v>52</v>
      </c>
      <c r="C485">
        <v>0</v>
      </c>
      <c r="D485" s="82">
        <v>45877</v>
      </c>
      <c r="E485" s="85">
        <v>0.21111111111111111</v>
      </c>
      <c r="F485">
        <v>0</v>
      </c>
      <c r="G485">
        <v>13</v>
      </c>
      <c r="H485" t="s">
        <v>49</v>
      </c>
      <c r="I485">
        <v>4</v>
      </c>
    </row>
    <row r="486" spans="1:9" x14ac:dyDescent="0.15">
      <c r="A486" t="s">
        <v>40</v>
      </c>
      <c r="B486" t="s">
        <v>52</v>
      </c>
      <c r="C486">
        <v>0</v>
      </c>
      <c r="D486" s="82">
        <v>45877</v>
      </c>
      <c r="E486" s="85">
        <v>0.25</v>
      </c>
      <c r="F486">
        <v>1</v>
      </c>
      <c r="G486">
        <v>13</v>
      </c>
      <c r="H486" t="s">
        <v>49</v>
      </c>
      <c r="I486">
        <v>4</v>
      </c>
    </row>
    <row r="487" spans="1:9" x14ac:dyDescent="0.15">
      <c r="A487" t="s">
        <v>40</v>
      </c>
      <c r="B487" t="s">
        <v>52</v>
      </c>
      <c r="C487">
        <v>0</v>
      </c>
      <c r="D487" s="82">
        <v>45877</v>
      </c>
      <c r="E487" s="85">
        <v>0.25069444444444444</v>
      </c>
      <c r="F487">
        <v>0</v>
      </c>
      <c r="G487">
        <v>13</v>
      </c>
      <c r="H487" t="s">
        <v>49</v>
      </c>
      <c r="I487">
        <v>4</v>
      </c>
    </row>
    <row r="488" spans="1:9" x14ac:dyDescent="0.15">
      <c r="A488" t="s">
        <v>40</v>
      </c>
      <c r="B488" t="s">
        <v>52</v>
      </c>
      <c r="C488">
        <v>0</v>
      </c>
      <c r="D488" s="82">
        <v>45877</v>
      </c>
      <c r="E488" s="85">
        <v>0.25138888888888888</v>
      </c>
      <c r="F488">
        <v>0</v>
      </c>
      <c r="G488">
        <v>13</v>
      </c>
      <c r="H488" t="s">
        <v>49</v>
      </c>
      <c r="I488">
        <v>4</v>
      </c>
    </row>
    <row r="489" spans="1:9" x14ac:dyDescent="0.15">
      <c r="A489" t="s">
        <v>40</v>
      </c>
      <c r="B489" t="s">
        <v>52</v>
      </c>
      <c r="C489">
        <v>0</v>
      </c>
      <c r="D489" s="82">
        <v>45877</v>
      </c>
      <c r="E489" s="85">
        <v>0.25208333333333333</v>
      </c>
      <c r="F489">
        <v>0</v>
      </c>
      <c r="G489">
        <v>13</v>
      </c>
      <c r="H489" t="s">
        <v>49</v>
      </c>
      <c r="I489">
        <v>4</v>
      </c>
    </row>
    <row r="490" spans="1:9" x14ac:dyDescent="0.15">
      <c r="A490" t="s">
        <v>40</v>
      </c>
      <c r="B490" t="s">
        <v>52</v>
      </c>
      <c r="C490">
        <v>0</v>
      </c>
      <c r="D490" s="82">
        <v>45877</v>
      </c>
      <c r="E490" s="85">
        <v>0.25277777777777777</v>
      </c>
      <c r="F490">
        <v>0</v>
      </c>
      <c r="G490">
        <v>13</v>
      </c>
      <c r="H490" t="s">
        <v>49</v>
      </c>
      <c r="I490">
        <v>4</v>
      </c>
    </row>
    <row r="491" spans="1:9" x14ac:dyDescent="0.15">
      <c r="A491" t="s">
        <v>20</v>
      </c>
      <c r="B491" t="s">
        <v>37</v>
      </c>
      <c r="C491">
        <v>0</v>
      </c>
      <c r="D491" s="82">
        <v>45814</v>
      </c>
      <c r="E491" s="85">
        <v>0</v>
      </c>
      <c r="F491">
        <v>1</v>
      </c>
      <c r="G491">
        <v>11</v>
      </c>
      <c r="H491" t="s">
        <v>39</v>
      </c>
      <c r="I491">
        <v>3</v>
      </c>
    </row>
    <row r="492" spans="1:9" x14ac:dyDescent="0.15">
      <c r="A492" t="s">
        <v>20</v>
      </c>
      <c r="B492" t="s">
        <v>37</v>
      </c>
      <c r="C492">
        <v>0</v>
      </c>
      <c r="D492" s="82">
        <v>45814</v>
      </c>
      <c r="E492" s="85">
        <v>6.9444444444444447E-4</v>
      </c>
      <c r="F492">
        <v>0</v>
      </c>
      <c r="G492">
        <v>11</v>
      </c>
      <c r="H492" t="s">
        <v>39</v>
      </c>
      <c r="I492">
        <v>3</v>
      </c>
    </row>
    <row r="493" spans="1:9" x14ac:dyDescent="0.15">
      <c r="A493" t="s">
        <v>20</v>
      </c>
      <c r="B493" t="s">
        <v>37</v>
      </c>
      <c r="C493">
        <v>0</v>
      </c>
      <c r="D493" s="82">
        <v>45814</v>
      </c>
      <c r="E493" s="85">
        <v>1.3888888888888889E-3</v>
      </c>
      <c r="F493">
        <v>0</v>
      </c>
      <c r="G493">
        <v>11</v>
      </c>
      <c r="H493" t="s">
        <v>39</v>
      </c>
      <c r="I493">
        <v>3</v>
      </c>
    </row>
    <row r="494" spans="1:9" x14ac:dyDescent="0.15">
      <c r="A494" t="s">
        <v>20</v>
      </c>
      <c r="B494" t="s">
        <v>37</v>
      </c>
      <c r="C494">
        <v>0</v>
      </c>
      <c r="D494" s="82">
        <v>45814</v>
      </c>
      <c r="E494" s="85">
        <v>2.0833333333333333E-3</v>
      </c>
      <c r="F494">
        <v>0</v>
      </c>
      <c r="G494">
        <v>11</v>
      </c>
      <c r="H494" t="s">
        <v>39</v>
      </c>
      <c r="I494">
        <v>3</v>
      </c>
    </row>
    <row r="495" spans="1:9" x14ac:dyDescent="0.15">
      <c r="A495" t="s">
        <v>20</v>
      </c>
      <c r="B495" t="s">
        <v>37</v>
      </c>
      <c r="C495">
        <v>0</v>
      </c>
      <c r="D495" s="82">
        <v>45814</v>
      </c>
      <c r="E495" s="85">
        <v>2.7777777777777779E-3</v>
      </c>
      <c r="F495">
        <v>0</v>
      </c>
      <c r="G495">
        <v>11</v>
      </c>
      <c r="H495" t="s">
        <v>39</v>
      </c>
      <c r="I495">
        <v>3</v>
      </c>
    </row>
    <row r="496" spans="1:9" x14ac:dyDescent="0.15">
      <c r="A496" t="s">
        <v>20</v>
      </c>
      <c r="B496" t="s">
        <v>37</v>
      </c>
      <c r="C496">
        <v>0</v>
      </c>
      <c r="D496" s="82">
        <v>45814</v>
      </c>
      <c r="E496" s="85">
        <v>4.3055555555555555E-2</v>
      </c>
      <c r="F496">
        <v>1</v>
      </c>
      <c r="G496">
        <v>11</v>
      </c>
      <c r="H496" t="s">
        <v>39</v>
      </c>
      <c r="I496">
        <v>3</v>
      </c>
    </row>
    <row r="497" spans="1:9" x14ac:dyDescent="0.15">
      <c r="A497" t="s">
        <v>20</v>
      </c>
      <c r="B497" t="s">
        <v>37</v>
      </c>
      <c r="C497">
        <v>0</v>
      </c>
      <c r="D497" s="82">
        <v>45814</v>
      </c>
      <c r="E497" s="85">
        <v>0.12777777777777777</v>
      </c>
      <c r="F497">
        <v>1</v>
      </c>
      <c r="G497">
        <v>11</v>
      </c>
      <c r="H497" t="s">
        <v>39</v>
      </c>
      <c r="I497">
        <v>2</v>
      </c>
    </row>
    <row r="498" spans="1:9" x14ac:dyDescent="0.15">
      <c r="A498" t="s">
        <v>20</v>
      </c>
      <c r="B498" t="s">
        <v>37</v>
      </c>
      <c r="C498">
        <v>0</v>
      </c>
      <c r="D498" s="82">
        <v>45814</v>
      </c>
      <c r="E498" s="85">
        <v>0.16875000000000001</v>
      </c>
      <c r="F498">
        <v>1</v>
      </c>
      <c r="G498">
        <v>11</v>
      </c>
      <c r="H498" t="s">
        <v>39</v>
      </c>
      <c r="I498">
        <v>2</v>
      </c>
    </row>
    <row r="499" spans="1:9" x14ac:dyDescent="0.15">
      <c r="A499" t="s">
        <v>20</v>
      </c>
      <c r="B499" t="s">
        <v>37</v>
      </c>
      <c r="C499">
        <v>0</v>
      </c>
      <c r="D499" s="82">
        <v>45814</v>
      </c>
      <c r="E499" s="85">
        <v>0.16944444444444445</v>
      </c>
      <c r="F499">
        <v>0</v>
      </c>
      <c r="G499">
        <v>11</v>
      </c>
      <c r="H499" t="s">
        <v>39</v>
      </c>
      <c r="I499">
        <v>3</v>
      </c>
    </row>
    <row r="500" spans="1:9" x14ac:dyDescent="0.15">
      <c r="A500" t="s">
        <v>20</v>
      </c>
      <c r="B500" t="s">
        <v>37</v>
      </c>
      <c r="C500">
        <v>0</v>
      </c>
      <c r="D500" s="82">
        <v>45814</v>
      </c>
      <c r="E500" s="85">
        <v>0.20972222222222223</v>
      </c>
      <c r="F500">
        <v>1</v>
      </c>
      <c r="G500">
        <v>11</v>
      </c>
      <c r="H500" t="s">
        <v>39</v>
      </c>
      <c r="I500">
        <v>3</v>
      </c>
    </row>
    <row r="501" spans="1:9" x14ac:dyDescent="0.15">
      <c r="A501" t="s">
        <v>20</v>
      </c>
      <c r="B501" t="s">
        <v>37</v>
      </c>
      <c r="C501">
        <v>0</v>
      </c>
      <c r="D501" s="82">
        <v>45814</v>
      </c>
      <c r="E501" s="85">
        <v>0.21041666666666667</v>
      </c>
      <c r="F501">
        <v>0</v>
      </c>
      <c r="G501">
        <v>11</v>
      </c>
      <c r="H501" t="s">
        <v>39</v>
      </c>
      <c r="I501">
        <v>3</v>
      </c>
    </row>
    <row r="502" spans="1:9" x14ac:dyDescent="0.15">
      <c r="A502" t="s">
        <v>20</v>
      </c>
      <c r="B502" t="s">
        <v>37</v>
      </c>
      <c r="C502">
        <v>0</v>
      </c>
      <c r="D502" s="82">
        <v>45814</v>
      </c>
      <c r="E502" s="85">
        <v>0.41736111111111113</v>
      </c>
      <c r="F502">
        <v>1</v>
      </c>
      <c r="G502">
        <v>11</v>
      </c>
      <c r="H502" t="s">
        <v>39</v>
      </c>
      <c r="I502">
        <v>3</v>
      </c>
    </row>
    <row r="503" spans="1:9" x14ac:dyDescent="0.15">
      <c r="A503" t="s">
        <v>20</v>
      </c>
      <c r="B503" t="s">
        <v>37</v>
      </c>
      <c r="C503">
        <v>0</v>
      </c>
      <c r="D503" s="82">
        <v>45814</v>
      </c>
      <c r="E503" s="85">
        <v>0.875</v>
      </c>
      <c r="F503">
        <v>1</v>
      </c>
      <c r="G503">
        <v>11</v>
      </c>
      <c r="H503" t="s">
        <v>39</v>
      </c>
      <c r="I503">
        <v>2</v>
      </c>
    </row>
    <row r="504" spans="1:9" x14ac:dyDescent="0.15">
      <c r="A504" t="s">
        <v>20</v>
      </c>
      <c r="B504" t="s">
        <v>37</v>
      </c>
      <c r="C504">
        <v>0</v>
      </c>
      <c r="D504" s="82">
        <v>45814</v>
      </c>
      <c r="E504" s="85">
        <v>0.87569444444444444</v>
      </c>
      <c r="F504">
        <v>0</v>
      </c>
      <c r="G504">
        <v>11</v>
      </c>
      <c r="H504" t="s">
        <v>39</v>
      </c>
      <c r="I504">
        <v>1</v>
      </c>
    </row>
    <row r="505" spans="1:9" x14ac:dyDescent="0.15">
      <c r="A505" t="s">
        <v>20</v>
      </c>
      <c r="B505" t="s">
        <v>37</v>
      </c>
      <c r="C505">
        <v>0</v>
      </c>
      <c r="D505" s="82">
        <v>45814</v>
      </c>
      <c r="E505" s="85">
        <v>0.87638888888888888</v>
      </c>
      <c r="F505">
        <v>0</v>
      </c>
      <c r="G505">
        <v>11</v>
      </c>
      <c r="H505" t="s">
        <v>39</v>
      </c>
      <c r="I505">
        <v>1</v>
      </c>
    </row>
    <row r="506" spans="1:9" x14ac:dyDescent="0.15">
      <c r="A506" t="s">
        <v>20</v>
      </c>
      <c r="B506" t="s">
        <v>37</v>
      </c>
      <c r="C506">
        <v>0</v>
      </c>
      <c r="D506" s="82">
        <v>45814</v>
      </c>
      <c r="E506" s="85">
        <v>0.87708333333333333</v>
      </c>
      <c r="F506">
        <v>0</v>
      </c>
      <c r="G506">
        <v>11</v>
      </c>
      <c r="H506" t="s">
        <v>39</v>
      </c>
      <c r="I506">
        <v>1</v>
      </c>
    </row>
    <row r="507" spans="1:9" x14ac:dyDescent="0.15">
      <c r="A507" t="s">
        <v>20</v>
      </c>
      <c r="B507" t="s">
        <v>37</v>
      </c>
      <c r="C507">
        <v>0</v>
      </c>
      <c r="D507" s="82">
        <v>45814</v>
      </c>
      <c r="E507" s="85">
        <v>0.87777777777777777</v>
      </c>
      <c r="F507">
        <v>0</v>
      </c>
      <c r="G507">
        <v>11</v>
      </c>
      <c r="H507" t="s">
        <v>39</v>
      </c>
      <c r="I507">
        <v>1</v>
      </c>
    </row>
    <row r="508" spans="1:9" x14ac:dyDescent="0.15">
      <c r="A508" t="s">
        <v>20</v>
      </c>
      <c r="B508" t="s">
        <v>37</v>
      </c>
      <c r="C508">
        <v>0</v>
      </c>
      <c r="D508" s="82">
        <v>45814</v>
      </c>
      <c r="E508" s="85">
        <v>0.91805555555555551</v>
      </c>
      <c r="F508">
        <v>0</v>
      </c>
      <c r="G508">
        <v>11</v>
      </c>
      <c r="H508" t="s">
        <v>39</v>
      </c>
      <c r="I508">
        <v>3</v>
      </c>
    </row>
    <row r="509" spans="1:9" x14ac:dyDescent="0.15">
      <c r="A509" t="s">
        <v>20</v>
      </c>
      <c r="B509" t="s">
        <v>37</v>
      </c>
      <c r="C509">
        <v>0</v>
      </c>
      <c r="D509" s="82">
        <v>45814</v>
      </c>
      <c r="E509" s="85">
        <v>0.91874999999999996</v>
      </c>
      <c r="F509">
        <v>0</v>
      </c>
      <c r="G509">
        <v>11</v>
      </c>
      <c r="H509" t="s">
        <v>39</v>
      </c>
      <c r="I509">
        <v>3</v>
      </c>
    </row>
    <row r="510" spans="1:9" x14ac:dyDescent="0.15">
      <c r="A510" t="s">
        <v>20</v>
      </c>
      <c r="B510" t="s">
        <v>37</v>
      </c>
      <c r="C510">
        <v>0</v>
      </c>
      <c r="D510" s="82">
        <v>45814</v>
      </c>
      <c r="E510" s="85">
        <v>0.9194444444444444</v>
      </c>
      <c r="F510">
        <v>0</v>
      </c>
      <c r="G510">
        <v>11</v>
      </c>
      <c r="H510" t="s">
        <v>39</v>
      </c>
      <c r="I510">
        <v>3</v>
      </c>
    </row>
    <row r="511" spans="1:9" x14ac:dyDescent="0.15">
      <c r="A511" t="s">
        <v>20</v>
      </c>
      <c r="B511" t="s">
        <v>37</v>
      </c>
      <c r="C511">
        <v>0</v>
      </c>
      <c r="D511" s="82">
        <v>45814</v>
      </c>
      <c r="E511" s="85">
        <v>0.95833333333333337</v>
      </c>
      <c r="F511">
        <v>1</v>
      </c>
      <c r="G511">
        <v>11</v>
      </c>
      <c r="H511" t="s">
        <v>39</v>
      </c>
      <c r="I511">
        <v>3</v>
      </c>
    </row>
    <row r="512" spans="1:9" x14ac:dyDescent="0.15">
      <c r="A512" t="s">
        <v>20</v>
      </c>
      <c r="B512" t="s">
        <v>37</v>
      </c>
      <c r="C512">
        <v>0</v>
      </c>
      <c r="D512" s="82">
        <v>45814</v>
      </c>
      <c r="E512" s="85">
        <v>0.95902777777777781</v>
      </c>
      <c r="F512">
        <v>0</v>
      </c>
      <c r="G512">
        <v>11</v>
      </c>
      <c r="H512" t="s">
        <v>39</v>
      </c>
      <c r="I512">
        <v>3</v>
      </c>
    </row>
    <row r="513" spans="1:9" x14ac:dyDescent="0.15">
      <c r="A513" t="s">
        <v>20</v>
      </c>
      <c r="B513" t="s">
        <v>37</v>
      </c>
      <c r="C513">
        <v>0</v>
      </c>
      <c r="D513" s="82">
        <v>45814</v>
      </c>
      <c r="E513" s="85">
        <v>0.95972222222222225</v>
      </c>
      <c r="F513">
        <v>0</v>
      </c>
      <c r="G513">
        <v>11</v>
      </c>
      <c r="H513" t="s">
        <v>39</v>
      </c>
      <c r="I513">
        <v>3</v>
      </c>
    </row>
    <row r="514" spans="1:9" x14ac:dyDescent="0.15">
      <c r="A514" t="s">
        <v>20</v>
      </c>
      <c r="B514" t="s">
        <v>37</v>
      </c>
      <c r="C514">
        <v>0</v>
      </c>
      <c r="D514" s="82">
        <v>45814</v>
      </c>
      <c r="E514" s="85">
        <v>0.9604166666666667</v>
      </c>
      <c r="F514">
        <v>0</v>
      </c>
      <c r="G514">
        <v>11</v>
      </c>
      <c r="H514" t="s">
        <v>39</v>
      </c>
      <c r="I514">
        <v>3</v>
      </c>
    </row>
    <row r="515" spans="1:9" x14ac:dyDescent="0.15">
      <c r="A515" t="s">
        <v>20</v>
      </c>
      <c r="B515" t="s">
        <v>37</v>
      </c>
      <c r="C515">
        <v>0</v>
      </c>
      <c r="D515" s="82">
        <v>45814</v>
      </c>
      <c r="E515" s="85">
        <v>0.96111111111111114</v>
      </c>
      <c r="F515">
        <v>0</v>
      </c>
      <c r="G515">
        <v>11</v>
      </c>
      <c r="H515" t="s">
        <v>39</v>
      </c>
      <c r="I515">
        <v>3</v>
      </c>
    </row>
    <row r="516" spans="1:9" x14ac:dyDescent="0.15">
      <c r="A516" t="s">
        <v>20</v>
      </c>
      <c r="B516" t="s">
        <v>37</v>
      </c>
      <c r="C516">
        <v>0</v>
      </c>
      <c r="D516" s="82">
        <v>45815</v>
      </c>
      <c r="E516" s="85">
        <v>1.3888888888888889E-3</v>
      </c>
      <c r="F516">
        <v>1</v>
      </c>
      <c r="G516">
        <v>25</v>
      </c>
      <c r="H516" t="s">
        <v>39</v>
      </c>
      <c r="I516">
        <v>3</v>
      </c>
    </row>
    <row r="517" spans="1:9" x14ac:dyDescent="0.15">
      <c r="A517" t="s">
        <v>20</v>
      </c>
      <c r="B517" t="s">
        <v>37</v>
      </c>
      <c r="C517">
        <v>0</v>
      </c>
      <c r="D517" s="82">
        <v>45815</v>
      </c>
      <c r="E517" s="85">
        <v>2.0833333333333333E-3</v>
      </c>
      <c r="F517">
        <v>0</v>
      </c>
      <c r="G517">
        <v>25</v>
      </c>
      <c r="H517" t="s">
        <v>39</v>
      </c>
      <c r="I517">
        <v>3</v>
      </c>
    </row>
    <row r="518" spans="1:9" x14ac:dyDescent="0.15">
      <c r="A518" t="s">
        <v>20</v>
      </c>
      <c r="B518" t="s">
        <v>37</v>
      </c>
      <c r="C518">
        <v>0</v>
      </c>
      <c r="D518" s="82">
        <v>45815</v>
      </c>
      <c r="E518" s="85">
        <v>2.7777777777777779E-3</v>
      </c>
      <c r="F518">
        <v>0</v>
      </c>
      <c r="G518">
        <v>25</v>
      </c>
      <c r="H518" t="s">
        <v>39</v>
      </c>
      <c r="I518">
        <v>3</v>
      </c>
    </row>
    <row r="519" spans="1:9" x14ac:dyDescent="0.15">
      <c r="A519" t="s">
        <v>20</v>
      </c>
      <c r="B519" t="s">
        <v>37</v>
      </c>
      <c r="C519">
        <v>0</v>
      </c>
      <c r="D519" s="82">
        <v>45815</v>
      </c>
      <c r="E519" s="85">
        <v>8.4027777777777785E-2</v>
      </c>
      <c r="F519">
        <v>1</v>
      </c>
      <c r="G519">
        <v>25</v>
      </c>
      <c r="H519" t="s">
        <v>39</v>
      </c>
      <c r="I519">
        <v>3</v>
      </c>
    </row>
    <row r="520" spans="1:9" x14ac:dyDescent="0.15">
      <c r="A520" t="s">
        <v>20</v>
      </c>
      <c r="B520" t="s">
        <v>37</v>
      </c>
      <c r="C520">
        <v>0</v>
      </c>
      <c r="D520" s="82">
        <v>45815</v>
      </c>
      <c r="E520" s="85">
        <v>8.4722222222222227E-2</v>
      </c>
      <c r="F520">
        <v>0</v>
      </c>
      <c r="G520">
        <v>25</v>
      </c>
      <c r="H520" t="s">
        <v>39</v>
      </c>
      <c r="I520">
        <v>3</v>
      </c>
    </row>
    <row r="521" spans="1:9" x14ac:dyDescent="0.15">
      <c r="A521" t="s">
        <v>40</v>
      </c>
      <c r="B521" t="s">
        <v>37</v>
      </c>
      <c r="C521">
        <v>0</v>
      </c>
      <c r="D521" s="82">
        <v>45871</v>
      </c>
      <c r="E521" s="85">
        <v>0.25208333333333333</v>
      </c>
      <c r="F521">
        <v>1</v>
      </c>
      <c r="G521">
        <v>32</v>
      </c>
      <c r="H521" t="s">
        <v>39</v>
      </c>
      <c r="I521">
        <v>4</v>
      </c>
    </row>
    <row r="522" spans="1:9" x14ac:dyDescent="0.15">
      <c r="A522" t="s">
        <v>40</v>
      </c>
      <c r="B522" t="s">
        <v>37</v>
      </c>
      <c r="C522">
        <v>0</v>
      </c>
      <c r="D522" s="82">
        <v>45871</v>
      </c>
      <c r="E522" s="85">
        <v>0.25277777777777777</v>
      </c>
      <c r="F522">
        <v>0</v>
      </c>
      <c r="G522">
        <v>32</v>
      </c>
      <c r="H522" t="s">
        <v>39</v>
      </c>
      <c r="I522">
        <v>4</v>
      </c>
    </row>
    <row r="523" spans="1:9" x14ac:dyDescent="0.15">
      <c r="A523" t="s">
        <v>40</v>
      </c>
      <c r="B523" t="s">
        <v>37</v>
      </c>
      <c r="C523">
        <v>0</v>
      </c>
      <c r="D523" s="82">
        <v>45873</v>
      </c>
      <c r="E523" s="85">
        <v>0.25138888888888888</v>
      </c>
      <c r="F523">
        <v>1</v>
      </c>
      <c r="G523">
        <v>2</v>
      </c>
      <c r="H523" t="s">
        <v>39</v>
      </c>
      <c r="I523">
        <v>4</v>
      </c>
    </row>
    <row r="524" spans="1:9" x14ac:dyDescent="0.15">
      <c r="A524" t="s">
        <v>40</v>
      </c>
      <c r="B524" t="s">
        <v>37</v>
      </c>
      <c r="C524">
        <v>0</v>
      </c>
      <c r="D524" s="82">
        <v>45874</v>
      </c>
      <c r="E524" s="85">
        <v>0.25208333333333333</v>
      </c>
      <c r="F524">
        <v>1</v>
      </c>
      <c r="G524">
        <v>1</v>
      </c>
      <c r="H524" t="s">
        <v>39</v>
      </c>
      <c r="I524">
        <v>4</v>
      </c>
    </row>
    <row r="525" spans="1:9" x14ac:dyDescent="0.15">
      <c r="A525" t="s">
        <v>40</v>
      </c>
      <c r="B525" t="s">
        <v>37</v>
      </c>
      <c r="C525">
        <v>0</v>
      </c>
      <c r="D525" s="82">
        <v>45877</v>
      </c>
      <c r="E525" s="85">
        <v>8.3333333333333329E-2</v>
      </c>
      <c r="F525">
        <v>1</v>
      </c>
      <c r="G525">
        <v>1</v>
      </c>
      <c r="H525" t="s">
        <v>39</v>
      </c>
      <c r="I525">
        <v>4</v>
      </c>
    </row>
    <row r="526" spans="1:9" x14ac:dyDescent="0.15">
      <c r="A526" t="s">
        <v>20</v>
      </c>
      <c r="B526" t="s">
        <v>18</v>
      </c>
      <c r="C526">
        <v>0</v>
      </c>
      <c r="D526" s="82">
        <v>45813</v>
      </c>
      <c r="E526" s="85">
        <v>0.5</v>
      </c>
      <c r="F526">
        <v>1</v>
      </c>
      <c r="G526">
        <v>3</v>
      </c>
      <c r="H526" t="s">
        <v>21</v>
      </c>
      <c r="I526">
        <v>1</v>
      </c>
    </row>
    <row r="527" spans="1:9" x14ac:dyDescent="0.15">
      <c r="A527" t="s">
        <v>20</v>
      </c>
      <c r="B527" t="s">
        <v>18</v>
      </c>
      <c r="C527">
        <v>0</v>
      </c>
      <c r="D527" s="82">
        <v>45813</v>
      </c>
      <c r="E527" s="85">
        <v>0.54166666666666663</v>
      </c>
      <c r="F527">
        <v>1</v>
      </c>
      <c r="G527">
        <v>3</v>
      </c>
      <c r="H527" t="s">
        <v>21</v>
      </c>
      <c r="I527">
        <v>2</v>
      </c>
    </row>
    <row r="528" spans="1:9" x14ac:dyDescent="0.15">
      <c r="A528" t="s">
        <v>20</v>
      </c>
      <c r="B528" t="s">
        <v>18</v>
      </c>
      <c r="C528">
        <v>0</v>
      </c>
      <c r="D528" s="82">
        <v>45814</v>
      </c>
      <c r="E528" s="85">
        <v>0</v>
      </c>
      <c r="F528">
        <v>1</v>
      </c>
      <c r="G528">
        <v>2</v>
      </c>
      <c r="H528" t="s">
        <v>21</v>
      </c>
      <c r="I528">
        <v>3</v>
      </c>
    </row>
    <row r="529" spans="1:9" x14ac:dyDescent="0.15">
      <c r="A529" t="s">
        <v>20</v>
      </c>
      <c r="B529" t="s">
        <v>18</v>
      </c>
      <c r="C529">
        <v>0</v>
      </c>
      <c r="D529" s="82">
        <v>45814</v>
      </c>
      <c r="E529" s="85">
        <v>6.9444444444444447E-4</v>
      </c>
      <c r="F529">
        <v>0</v>
      </c>
      <c r="G529">
        <v>2</v>
      </c>
      <c r="H529" t="s">
        <v>21</v>
      </c>
      <c r="I529">
        <v>3</v>
      </c>
    </row>
    <row r="530" spans="1:9" x14ac:dyDescent="0.15">
      <c r="A530" t="s">
        <v>20</v>
      </c>
      <c r="B530" t="s">
        <v>18</v>
      </c>
      <c r="C530">
        <v>0</v>
      </c>
      <c r="D530" s="82">
        <v>45814</v>
      </c>
      <c r="E530" s="85">
        <v>1.3888888888888889E-3</v>
      </c>
      <c r="F530">
        <v>0</v>
      </c>
      <c r="G530">
        <v>2</v>
      </c>
      <c r="H530" t="s">
        <v>21</v>
      </c>
      <c r="I530">
        <v>3</v>
      </c>
    </row>
    <row r="531" spans="1:9" x14ac:dyDescent="0.15">
      <c r="A531" t="s">
        <v>20</v>
      </c>
      <c r="B531" t="s">
        <v>18</v>
      </c>
      <c r="C531">
        <v>0</v>
      </c>
      <c r="D531" s="82">
        <v>45814</v>
      </c>
      <c r="E531" s="85">
        <v>2.0833333333333333E-3</v>
      </c>
      <c r="F531">
        <v>0</v>
      </c>
      <c r="G531">
        <v>2</v>
      </c>
      <c r="H531" t="s">
        <v>21</v>
      </c>
      <c r="I531">
        <v>3</v>
      </c>
    </row>
    <row r="532" spans="1:9" x14ac:dyDescent="0.15">
      <c r="A532" t="s">
        <v>20</v>
      </c>
      <c r="B532" t="s">
        <v>18</v>
      </c>
      <c r="C532">
        <v>0</v>
      </c>
      <c r="D532" s="82">
        <v>45814</v>
      </c>
      <c r="E532" s="85">
        <v>2.7777777777777779E-3</v>
      </c>
      <c r="F532">
        <v>0</v>
      </c>
      <c r="G532">
        <v>2</v>
      </c>
      <c r="H532" t="s">
        <v>21</v>
      </c>
      <c r="I532">
        <v>3</v>
      </c>
    </row>
    <row r="533" spans="1:9" x14ac:dyDescent="0.15">
      <c r="A533" t="s">
        <v>20</v>
      </c>
      <c r="B533" t="s">
        <v>18</v>
      </c>
      <c r="C533">
        <v>0</v>
      </c>
      <c r="D533" s="82">
        <v>45814</v>
      </c>
      <c r="E533" s="85">
        <v>4.3055555555555555E-2</v>
      </c>
      <c r="F533">
        <v>1</v>
      </c>
      <c r="G533">
        <v>2</v>
      </c>
      <c r="H533" t="s">
        <v>21</v>
      </c>
      <c r="I533">
        <v>3</v>
      </c>
    </row>
    <row r="534" spans="1:9" x14ac:dyDescent="0.15">
      <c r="A534" t="s">
        <v>20</v>
      </c>
      <c r="B534" t="s">
        <v>18</v>
      </c>
      <c r="C534">
        <v>0</v>
      </c>
      <c r="D534" s="82">
        <v>45814</v>
      </c>
      <c r="E534" s="85">
        <v>4.3749999999999997E-2</v>
      </c>
      <c r="F534">
        <v>0</v>
      </c>
      <c r="G534">
        <v>2</v>
      </c>
      <c r="H534" t="s">
        <v>21</v>
      </c>
      <c r="I534">
        <v>2</v>
      </c>
    </row>
    <row r="535" spans="1:9" x14ac:dyDescent="0.15">
      <c r="A535" t="s">
        <v>20</v>
      </c>
      <c r="B535" t="s">
        <v>18</v>
      </c>
      <c r="C535">
        <v>0</v>
      </c>
      <c r="D535" s="82">
        <v>45814</v>
      </c>
      <c r="E535" s="85">
        <v>0.20972222222222223</v>
      </c>
      <c r="F535">
        <v>1</v>
      </c>
      <c r="G535">
        <v>2</v>
      </c>
      <c r="H535" t="s">
        <v>21</v>
      </c>
      <c r="I535">
        <v>3</v>
      </c>
    </row>
    <row r="536" spans="1:9" x14ac:dyDescent="0.15">
      <c r="A536" t="s">
        <v>20</v>
      </c>
      <c r="B536" t="s">
        <v>18</v>
      </c>
      <c r="C536">
        <v>0</v>
      </c>
      <c r="D536" s="82">
        <v>45814</v>
      </c>
      <c r="E536" s="85">
        <v>0.21041666666666667</v>
      </c>
      <c r="F536">
        <v>0</v>
      </c>
      <c r="G536">
        <v>2</v>
      </c>
      <c r="H536" t="s">
        <v>21</v>
      </c>
      <c r="I536">
        <v>3</v>
      </c>
    </row>
    <row r="537" spans="1:9" x14ac:dyDescent="0.15">
      <c r="A537" t="s">
        <v>20</v>
      </c>
      <c r="B537" t="s">
        <v>18</v>
      </c>
      <c r="C537">
        <v>0</v>
      </c>
      <c r="D537" s="82">
        <v>45814</v>
      </c>
      <c r="E537" s="85">
        <v>0.83333333333333337</v>
      </c>
      <c r="F537">
        <v>1</v>
      </c>
      <c r="G537">
        <v>2</v>
      </c>
      <c r="H537" t="s">
        <v>21</v>
      </c>
      <c r="I537">
        <v>1</v>
      </c>
    </row>
    <row r="538" spans="1:9" x14ac:dyDescent="0.15">
      <c r="A538" t="s">
        <v>20</v>
      </c>
      <c r="B538" t="s">
        <v>18</v>
      </c>
      <c r="C538">
        <v>0</v>
      </c>
      <c r="D538" s="82">
        <v>45814</v>
      </c>
      <c r="E538" s="85">
        <v>0.83402777777777781</v>
      </c>
      <c r="F538">
        <v>0</v>
      </c>
      <c r="G538">
        <v>2</v>
      </c>
      <c r="H538" t="s">
        <v>21</v>
      </c>
      <c r="I538">
        <v>1</v>
      </c>
    </row>
    <row r="539" spans="1:9" x14ac:dyDescent="0.15">
      <c r="A539" t="s">
        <v>20</v>
      </c>
      <c r="B539" t="s">
        <v>18</v>
      </c>
      <c r="C539">
        <v>0</v>
      </c>
      <c r="D539" s="82">
        <v>45814</v>
      </c>
      <c r="E539" s="85">
        <v>0.83472222222222225</v>
      </c>
      <c r="F539">
        <v>0</v>
      </c>
      <c r="G539">
        <v>2</v>
      </c>
      <c r="H539" t="s">
        <v>21</v>
      </c>
      <c r="I539">
        <v>1</v>
      </c>
    </row>
    <row r="540" spans="1:9" x14ac:dyDescent="0.15">
      <c r="A540" t="s">
        <v>20</v>
      </c>
      <c r="B540" t="s">
        <v>18</v>
      </c>
      <c r="C540">
        <v>0</v>
      </c>
      <c r="D540" s="82">
        <v>45814</v>
      </c>
      <c r="E540" s="85">
        <v>0.8354166666666667</v>
      </c>
      <c r="F540">
        <v>0</v>
      </c>
      <c r="G540">
        <v>2</v>
      </c>
      <c r="H540" t="s">
        <v>21</v>
      </c>
      <c r="I540">
        <v>1</v>
      </c>
    </row>
    <row r="541" spans="1:9" x14ac:dyDescent="0.15">
      <c r="A541" t="s">
        <v>20</v>
      </c>
      <c r="B541" t="s">
        <v>18</v>
      </c>
      <c r="C541">
        <v>0</v>
      </c>
      <c r="D541" s="82">
        <v>45814</v>
      </c>
      <c r="E541" s="85">
        <v>0.875</v>
      </c>
      <c r="F541">
        <v>1</v>
      </c>
      <c r="G541">
        <v>2</v>
      </c>
      <c r="H541" t="s">
        <v>21</v>
      </c>
      <c r="I541">
        <v>2</v>
      </c>
    </row>
    <row r="542" spans="1:9" x14ac:dyDescent="0.15">
      <c r="A542" t="s">
        <v>20</v>
      </c>
      <c r="B542" t="s">
        <v>18</v>
      </c>
      <c r="C542">
        <v>0</v>
      </c>
      <c r="D542" s="82">
        <v>45814</v>
      </c>
      <c r="E542" s="85">
        <v>0.87569444444444444</v>
      </c>
      <c r="F542">
        <v>0</v>
      </c>
      <c r="G542">
        <v>2</v>
      </c>
      <c r="H542" t="s">
        <v>21</v>
      </c>
      <c r="I542">
        <v>1</v>
      </c>
    </row>
    <row r="543" spans="1:9" x14ac:dyDescent="0.15">
      <c r="A543" t="s">
        <v>20</v>
      </c>
      <c r="B543" t="s">
        <v>18</v>
      </c>
      <c r="C543">
        <v>0</v>
      </c>
      <c r="D543" s="82">
        <v>45814</v>
      </c>
      <c r="E543" s="85">
        <v>0.87638888888888888</v>
      </c>
      <c r="F543">
        <v>0</v>
      </c>
      <c r="G543">
        <v>2</v>
      </c>
      <c r="H543" t="s">
        <v>21</v>
      </c>
      <c r="I543">
        <v>1</v>
      </c>
    </row>
    <row r="544" spans="1:9" x14ac:dyDescent="0.15">
      <c r="A544" t="s">
        <v>20</v>
      </c>
      <c r="B544" t="s">
        <v>18</v>
      </c>
      <c r="C544">
        <v>0</v>
      </c>
      <c r="D544" s="82">
        <v>45814</v>
      </c>
      <c r="E544" s="85">
        <v>0.87708333333333333</v>
      </c>
      <c r="F544">
        <v>0</v>
      </c>
      <c r="G544">
        <v>2</v>
      </c>
      <c r="H544" t="s">
        <v>21</v>
      </c>
      <c r="I544">
        <v>1</v>
      </c>
    </row>
    <row r="545" spans="1:9" x14ac:dyDescent="0.15">
      <c r="A545" t="s">
        <v>20</v>
      </c>
      <c r="B545" t="s">
        <v>18</v>
      </c>
      <c r="C545">
        <v>0</v>
      </c>
      <c r="D545" s="82">
        <v>45814</v>
      </c>
      <c r="E545" s="85">
        <v>0.87777777777777777</v>
      </c>
      <c r="F545">
        <v>0</v>
      </c>
      <c r="G545">
        <v>2</v>
      </c>
      <c r="H545" t="s">
        <v>21</v>
      </c>
      <c r="I545">
        <v>1</v>
      </c>
    </row>
    <row r="546" spans="1:9" x14ac:dyDescent="0.15">
      <c r="A546" t="s">
        <v>20</v>
      </c>
      <c r="B546" t="s">
        <v>18</v>
      </c>
      <c r="C546">
        <v>0</v>
      </c>
      <c r="D546" s="82">
        <v>45814</v>
      </c>
      <c r="E546" s="85">
        <v>0.91666666666666663</v>
      </c>
      <c r="F546">
        <v>1</v>
      </c>
      <c r="G546">
        <v>2</v>
      </c>
      <c r="H546" t="s">
        <v>21</v>
      </c>
      <c r="I546">
        <v>2</v>
      </c>
    </row>
    <row r="547" spans="1:9" x14ac:dyDescent="0.15">
      <c r="A547" t="s">
        <v>20</v>
      </c>
      <c r="B547" t="s">
        <v>18</v>
      </c>
      <c r="C547">
        <v>0</v>
      </c>
      <c r="D547" s="82">
        <v>45814</v>
      </c>
      <c r="E547" s="85">
        <v>0.91736111111111107</v>
      </c>
      <c r="F547">
        <v>0</v>
      </c>
      <c r="G547">
        <v>2</v>
      </c>
      <c r="H547" t="s">
        <v>21</v>
      </c>
      <c r="I547">
        <v>3</v>
      </c>
    </row>
    <row r="548" spans="1:9" x14ac:dyDescent="0.15">
      <c r="A548" t="s">
        <v>20</v>
      </c>
      <c r="B548" t="s">
        <v>18</v>
      </c>
      <c r="C548">
        <v>0</v>
      </c>
      <c r="D548" s="82">
        <v>45814</v>
      </c>
      <c r="E548" s="85">
        <v>0.91805555555555551</v>
      </c>
      <c r="F548">
        <v>0</v>
      </c>
      <c r="G548">
        <v>2</v>
      </c>
      <c r="H548" t="s">
        <v>21</v>
      </c>
      <c r="I548">
        <v>3</v>
      </c>
    </row>
    <row r="549" spans="1:9" x14ac:dyDescent="0.15">
      <c r="A549" t="s">
        <v>20</v>
      </c>
      <c r="B549" t="s">
        <v>18</v>
      </c>
      <c r="C549">
        <v>0</v>
      </c>
      <c r="D549" s="82">
        <v>45814</v>
      </c>
      <c r="E549" s="85">
        <v>0.91874999999999996</v>
      </c>
      <c r="F549">
        <v>0</v>
      </c>
      <c r="G549">
        <v>2</v>
      </c>
      <c r="H549" t="s">
        <v>21</v>
      </c>
      <c r="I549">
        <v>3</v>
      </c>
    </row>
    <row r="550" spans="1:9" x14ac:dyDescent="0.15">
      <c r="A550" t="s">
        <v>20</v>
      </c>
      <c r="B550" t="s">
        <v>18</v>
      </c>
      <c r="C550">
        <v>0</v>
      </c>
      <c r="D550" s="82">
        <v>45814</v>
      </c>
      <c r="E550" s="85">
        <v>0.9194444444444444</v>
      </c>
      <c r="F550">
        <v>0</v>
      </c>
      <c r="G550">
        <v>2</v>
      </c>
      <c r="H550" t="s">
        <v>21</v>
      </c>
      <c r="I550">
        <v>3</v>
      </c>
    </row>
    <row r="551" spans="1:9" x14ac:dyDescent="0.15">
      <c r="A551" t="s">
        <v>20</v>
      </c>
      <c r="B551" t="s">
        <v>18</v>
      </c>
      <c r="C551">
        <v>0</v>
      </c>
      <c r="D551" s="82">
        <v>45814</v>
      </c>
      <c r="E551" s="85">
        <v>0.95833333333333337</v>
      </c>
      <c r="F551">
        <v>1</v>
      </c>
      <c r="G551">
        <v>2</v>
      </c>
      <c r="H551" t="s">
        <v>21</v>
      </c>
      <c r="I551">
        <v>3</v>
      </c>
    </row>
    <row r="552" spans="1:9" x14ac:dyDescent="0.15">
      <c r="A552" t="s">
        <v>20</v>
      </c>
      <c r="B552" t="s">
        <v>18</v>
      </c>
      <c r="C552">
        <v>0</v>
      </c>
      <c r="D552" s="82">
        <v>45814</v>
      </c>
      <c r="E552" s="85">
        <v>0.95902777777777781</v>
      </c>
      <c r="F552">
        <v>0</v>
      </c>
      <c r="G552">
        <v>2</v>
      </c>
      <c r="H552" t="s">
        <v>21</v>
      </c>
      <c r="I552">
        <v>3</v>
      </c>
    </row>
    <row r="553" spans="1:9" x14ac:dyDescent="0.15">
      <c r="A553" t="s">
        <v>20</v>
      </c>
      <c r="B553" t="s">
        <v>18</v>
      </c>
      <c r="C553">
        <v>0</v>
      </c>
      <c r="D553" s="82">
        <v>45814</v>
      </c>
      <c r="E553" s="85">
        <v>0.95972222222222225</v>
      </c>
      <c r="F553">
        <v>0</v>
      </c>
      <c r="G553">
        <v>2</v>
      </c>
      <c r="H553" t="s">
        <v>21</v>
      </c>
      <c r="I553">
        <v>3</v>
      </c>
    </row>
    <row r="554" spans="1:9" x14ac:dyDescent="0.15">
      <c r="A554" t="s">
        <v>20</v>
      </c>
      <c r="B554" t="s">
        <v>18</v>
      </c>
      <c r="C554">
        <v>0</v>
      </c>
      <c r="D554" s="82">
        <v>45814</v>
      </c>
      <c r="E554" s="85">
        <v>0.9604166666666667</v>
      </c>
      <c r="F554">
        <v>0</v>
      </c>
      <c r="G554">
        <v>2</v>
      </c>
      <c r="H554" t="s">
        <v>21</v>
      </c>
      <c r="I554">
        <v>3</v>
      </c>
    </row>
    <row r="555" spans="1:9" x14ac:dyDescent="0.15">
      <c r="A555" t="s">
        <v>20</v>
      </c>
      <c r="B555" t="s">
        <v>18</v>
      </c>
      <c r="C555">
        <v>0</v>
      </c>
      <c r="D555" s="82">
        <v>45814</v>
      </c>
      <c r="E555" s="85">
        <v>0.96111111111111114</v>
      </c>
      <c r="F555">
        <v>0</v>
      </c>
      <c r="G555">
        <v>2</v>
      </c>
      <c r="H555" t="s">
        <v>21</v>
      </c>
      <c r="I555">
        <v>3</v>
      </c>
    </row>
    <row r="556" spans="1:9" x14ac:dyDescent="0.15">
      <c r="A556" t="s">
        <v>20</v>
      </c>
      <c r="B556" t="s">
        <v>18</v>
      </c>
      <c r="C556">
        <v>0</v>
      </c>
      <c r="D556" s="82">
        <v>45815</v>
      </c>
      <c r="E556" s="85">
        <v>0</v>
      </c>
      <c r="F556">
        <v>1</v>
      </c>
      <c r="G556">
        <v>28</v>
      </c>
      <c r="H556" t="s">
        <v>21</v>
      </c>
      <c r="I556">
        <v>2</v>
      </c>
    </row>
    <row r="557" spans="1:9" x14ac:dyDescent="0.15">
      <c r="A557" t="s">
        <v>20</v>
      </c>
      <c r="B557" t="s">
        <v>18</v>
      </c>
      <c r="C557">
        <v>0</v>
      </c>
      <c r="D557" s="82">
        <v>45815</v>
      </c>
      <c r="E557" s="85">
        <v>6.9444444444444447E-4</v>
      </c>
      <c r="F557">
        <v>0</v>
      </c>
      <c r="G557">
        <v>28</v>
      </c>
      <c r="H557" t="s">
        <v>21</v>
      </c>
      <c r="I557">
        <v>2</v>
      </c>
    </row>
    <row r="558" spans="1:9" x14ac:dyDescent="0.15">
      <c r="A558" t="s">
        <v>20</v>
      </c>
      <c r="B558" t="s">
        <v>18</v>
      </c>
      <c r="C558">
        <v>0</v>
      </c>
      <c r="D558" s="82">
        <v>45815</v>
      </c>
      <c r="E558" s="85">
        <v>1.3888888888888889E-3</v>
      </c>
      <c r="F558">
        <v>0</v>
      </c>
      <c r="G558">
        <v>28</v>
      </c>
      <c r="H558" t="s">
        <v>21</v>
      </c>
      <c r="I558">
        <v>3</v>
      </c>
    </row>
    <row r="559" spans="1:9" x14ac:dyDescent="0.15">
      <c r="A559" t="s">
        <v>20</v>
      </c>
      <c r="B559" t="s">
        <v>18</v>
      </c>
      <c r="C559">
        <v>0</v>
      </c>
      <c r="D559" s="82">
        <v>45815</v>
      </c>
      <c r="E559" s="85">
        <v>2.0833333333333333E-3</v>
      </c>
      <c r="F559">
        <v>0</v>
      </c>
      <c r="G559">
        <v>28</v>
      </c>
      <c r="H559" t="s">
        <v>21</v>
      </c>
      <c r="I559">
        <v>3</v>
      </c>
    </row>
    <row r="560" spans="1:9" x14ac:dyDescent="0.15">
      <c r="A560" t="s">
        <v>20</v>
      </c>
      <c r="B560" t="s">
        <v>18</v>
      </c>
      <c r="C560">
        <v>0</v>
      </c>
      <c r="D560" s="82">
        <v>45815</v>
      </c>
      <c r="E560" s="85">
        <v>2.7777777777777779E-3</v>
      </c>
      <c r="F560">
        <v>0</v>
      </c>
      <c r="G560">
        <v>28</v>
      </c>
      <c r="H560" t="s">
        <v>21</v>
      </c>
      <c r="I560">
        <v>3</v>
      </c>
    </row>
    <row r="561" spans="1:9" x14ac:dyDescent="0.15">
      <c r="A561" t="s">
        <v>20</v>
      </c>
      <c r="B561" t="s">
        <v>18</v>
      </c>
      <c r="C561">
        <v>0</v>
      </c>
      <c r="D561" s="82">
        <v>45815</v>
      </c>
      <c r="E561" s="85">
        <v>4.1666666666666664E-2</v>
      </c>
      <c r="F561">
        <v>1</v>
      </c>
      <c r="G561">
        <v>28</v>
      </c>
      <c r="H561" t="s">
        <v>21</v>
      </c>
      <c r="I561">
        <v>2</v>
      </c>
    </row>
    <row r="562" spans="1:9" x14ac:dyDescent="0.15">
      <c r="A562" t="s">
        <v>20</v>
      </c>
      <c r="B562" t="s">
        <v>18</v>
      </c>
      <c r="C562">
        <v>0</v>
      </c>
      <c r="D562" s="82">
        <v>45815</v>
      </c>
      <c r="E562" s="85">
        <v>4.2361111111111113E-2</v>
      </c>
      <c r="F562">
        <v>0</v>
      </c>
      <c r="G562">
        <v>28</v>
      </c>
      <c r="H562" t="s">
        <v>21</v>
      </c>
      <c r="I562">
        <v>1</v>
      </c>
    </row>
    <row r="563" spans="1:9" x14ac:dyDescent="0.15">
      <c r="A563" t="s">
        <v>20</v>
      </c>
      <c r="B563" t="s">
        <v>18</v>
      </c>
      <c r="C563">
        <v>0</v>
      </c>
      <c r="D563" s="82">
        <v>45815</v>
      </c>
      <c r="E563" s="85">
        <v>4.3055555555555555E-2</v>
      </c>
      <c r="F563">
        <v>0</v>
      </c>
      <c r="G563">
        <v>28</v>
      </c>
      <c r="H563" t="s">
        <v>21</v>
      </c>
      <c r="I563">
        <v>1</v>
      </c>
    </row>
    <row r="564" spans="1:9" x14ac:dyDescent="0.15">
      <c r="A564" t="s">
        <v>20</v>
      </c>
      <c r="B564" t="s">
        <v>18</v>
      </c>
      <c r="C564">
        <v>0</v>
      </c>
      <c r="D564" s="82">
        <v>45815</v>
      </c>
      <c r="E564" s="85">
        <v>4.3749999999999997E-2</v>
      </c>
      <c r="F564">
        <v>0</v>
      </c>
      <c r="G564">
        <v>28</v>
      </c>
      <c r="H564" t="s">
        <v>21</v>
      </c>
      <c r="I564">
        <v>2</v>
      </c>
    </row>
    <row r="565" spans="1:9" x14ac:dyDescent="0.15">
      <c r="A565" t="s">
        <v>20</v>
      </c>
      <c r="B565" t="s">
        <v>18</v>
      </c>
      <c r="C565">
        <v>0</v>
      </c>
      <c r="D565" s="82">
        <v>45815</v>
      </c>
      <c r="E565" s="85">
        <v>8.3333333333333329E-2</v>
      </c>
      <c r="F565">
        <v>1</v>
      </c>
      <c r="G565">
        <v>28</v>
      </c>
      <c r="H565" t="s">
        <v>21</v>
      </c>
      <c r="I565">
        <v>2</v>
      </c>
    </row>
    <row r="566" spans="1:9" x14ac:dyDescent="0.15">
      <c r="A566" t="s">
        <v>20</v>
      </c>
      <c r="B566" t="s">
        <v>18</v>
      </c>
      <c r="C566">
        <v>0</v>
      </c>
      <c r="D566" s="82">
        <v>45815</v>
      </c>
      <c r="E566" s="85">
        <v>8.4027777777777785E-2</v>
      </c>
      <c r="F566">
        <v>0</v>
      </c>
      <c r="G566">
        <v>28</v>
      </c>
      <c r="H566" t="s">
        <v>21</v>
      </c>
      <c r="I566">
        <v>3</v>
      </c>
    </row>
    <row r="567" spans="1:9" x14ac:dyDescent="0.15">
      <c r="A567" t="s">
        <v>20</v>
      </c>
      <c r="B567" t="s">
        <v>18</v>
      </c>
      <c r="C567">
        <v>0</v>
      </c>
      <c r="D567" s="82">
        <v>45815</v>
      </c>
      <c r="E567" s="85">
        <v>8.4722222222222227E-2</v>
      </c>
      <c r="F567">
        <v>0</v>
      </c>
      <c r="G567">
        <v>28</v>
      </c>
      <c r="H567" t="s">
        <v>21</v>
      </c>
      <c r="I567">
        <v>3</v>
      </c>
    </row>
    <row r="568" spans="1:9" x14ac:dyDescent="0.15">
      <c r="A568" t="s">
        <v>70</v>
      </c>
      <c r="B568" t="s">
        <v>18</v>
      </c>
      <c r="C568">
        <v>1</v>
      </c>
      <c r="D568" s="82">
        <v>45870</v>
      </c>
      <c r="E568" s="85">
        <v>0.83333333333333337</v>
      </c>
      <c r="F568">
        <v>1</v>
      </c>
      <c r="G568">
        <v>26</v>
      </c>
      <c r="H568" t="s">
        <v>21</v>
      </c>
      <c r="I568">
        <v>1</v>
      </c>
    </row>
    <row r="569" spans="1:9" x14ac:dyDescent="0.15">
      <c r="A569" t="s">
        <v>70</v>
      </c>
      <c r="B569" t="s">
        <v>18</v>
      </c>
      <c r="C569">
        <v>0</v>
      </c>
      <c r="D569" s="82">
        <v>45870</v>
      </c>
      <c r="E569" s="85">
        <v>0.83472222222222225</v>
      </c>
      <c r="F569">
        <v>0</v>
      </c>
      <c r="G569">
        <v>26</v>
      </c>
      <c r="H569" t="s">
        <v>21</v>
      </c>
      <c r="I569">
        <v>1</v>
      </c>
    </row>
    <row r="570" spans="1:9" x14ac:dyDescent="0.15">
      <c r="A570" t="s">
        <v>70</v>
      </c>
      <c r="B570" t="s">
        <v>18</v>
      </c>
      <c r="C570">
        <v>0</v>
      </c>
      <c r="D570" s="82">
        <v>45870</v>
      </c>
      <c r="E570" s="85">
        <v>0.8354166666666667</v>
      </c>
      <c r="F570">
        <v>0</v>
      </c>
      <c r="G570">
        <v>26</v>
      </c>
      <c r="H570" t="s">
        <v>21</v>
      </c>
      <c r="I570">
        <v>1</v>
      </c>
    </row>
    <row r="571" spans="1:9" x14ac:dyDescent="0.15">
      <c r="A571" t="s">
        <v>70</v>
      </c>
      <c r="B571" t="s">
        <v>18</v>
      </c>
      <c r="C571">
        <v>0</v>
      </c>
      <c r="D571" s="82">
        <v>45870</v>
      </c>
      <c r="E571" s="85">
        <v>0.83611111111111114</v>
      </c>
      <c r="F571">
        <v>0</v>
      </c>
      <c r="G571">
        <v>26</v>
      </c>
      <c r="H571" t="s">
        <v>21</v>
      </c>
      <c r="I571">
        <v>1</v>
      </c>
    </row>
    <row r="572" spans="1:9" x14ac:dyDescent="0.15">
      <c r="A572" t="s">
        <v>70</v>
      </c>
      <c r="B572" t="s">
        <v>18</v>
      </c>
      <c r="C572">
        <v>0</v>
      </c>
      <c r="D572" s="82">
        <v>45871</v>
      </c>
      <c r="E572" s="85">
        <v>0.21111111111111111</v>
      </c>
      <c r="F572">
        <v>1</v>
      </c>
      <c r="G572">
        <v>4</v>
      </c>
      <c r="H572" t="s">
        <v>21</v>
      </c>
      <c r="I572">
        <v>2</v>
      </c>
    </row>
    <row r="573" spans="1:9" x14ac:dyDescent="0.15">
      <c r="A573" t="s">
        <v>70</v>
      </c>
      <c r="B573" t="s">
        <v>18</v>
      </c>
      <c r="C573">
        <v>0</v>
      </c>
      <c r="D573" s="82">
        <v>45871</v>
      </c>
      <c r="E573" s="85">
        <v>0.25</v>
      </c>
      <c r="F573">
        <v>1</v>
      </c>
      <c r="G573">
        <v>4</v>
      </c>
      <c r="H573" t="s">
        <v>21</v>
      </c>
      <c r="I573">
        <v>3</v>
      </c>
    </row>
    <row r="574" spans="1:9" x14ac:dyDescent="0.15">
      <c r="A574" t="s">
        <v>70</v>
      </c>
      <c r="B574" t="s">
        <v>18</v>
      </c>
      <c r="C574">
        <v>0</v>
      </c>
      <c r="D574" s="82">
        <v>45871</v>
      </c>
      <c r="E574" s="85">
        <v>0.95902777777777781</v>
      </c>
      <c r="F574">
        <v>1</v>
      </c>
      <c r="G574">
        <v>4</v>
      </c>
      <c r="H574" t="s">
        <v>21</v>
      </c>
      <c r="I574">
        <v>2</v>
      </c>
    </row>
    <row r="575" spans="1:9" x14ac:dyDescent="0.15">
      <c r="A575" t="s">
        <v>70</v>
      </c>
      <c r="B575" t="s">
        <v>18</v>
      </c>
      <c r="C575">
        <v>0</v>
      </c>
      <c r="D575" s="82">
        <v>45871</v>
      </c>
      <c r="E575" s="85">
        <v>0.95972222222222225</v>
      </c>
      <c r="F575">
        <v>0</v>
      </c>
      <c r="G575">
        <v>4</v>
      </c>
      <c r="H575" t="s">
        <v>21</v>
      </c>
      <c r="I575">
        <v>2</v>
      </c>
    </row>
    <row r="576" spans="1:9" x14ac:dyDescent="0.15">
      <c r="A576" t="s">
        <v>70</v>
      </c>
      <c r="B576" t="s">
        <v>18</v>
      </c>
      <c r="C576">
        <v>0</v>
      </c>
      <c r="D576" s="82">
        <v>45871</v>
      </c>
      <c r="E576" s="85">
        <v>0.9604166666666667</v>
      </c>
      <c r="F576">
        <v>0</v>
      </c>
      <c r="G576">
        <v>4</v>
      </c>
      <c r="H576" t="s">
        <v>21</v>
      </c>
      <c r="I576">
        <v>2</v>
      </c>
    </row>
    <row r="577" spans="1:9" x14ac:dyDescent="0.15">
      <c r="A577" t="s">
        <v>70</v>
      </c>
      <c r="B577" t="s">
        <v>18</v>
      </c>
      <c r="C577">
        <v>0</v>
      </c>
      <c r="D577" s="82">
        <v>45875</v>
      </c>
      <c r="E577" s="85">
        <v>0.70902777777777781</v>
      </c>
      <c r="F577">
        <v>1</v>
      </c>
      <c r="G577">
        <v>5</v>
      </c>
      <c r="H577" t="s">
        <v>21</v>
      </c>
      <c r="I577">
        <v>2</v>
      </c>
    </row>
    <row r="578" spans="1:9" x14ac:dyDescent="0.15">
      <c r="A578" t="s">
        <v>70</v>
      </c>
      <c r="B578" t="s">
        <v>18</v>
      </c>
      <c r="C578">
        <v>0</v>
      </c>
      <c r="D578" s="82">
        <v>45875</v>
      </c>
      <c r="E578" s="85">
        <v>0.79305555555555551</v>
      </c>
      <c r="F578">
        <v>1</v>
      </c>
      <c r="G578">
        <v>5</v>
      </c>
      <c r="H578" t="s">
        <v>21</v>
      </c>
      <c r="I578">
        <v>1</v>
      </c>
    </row>
    <row r="579" spans="1:9" x14ac:dyDescent="0.15">
      <c r="A579" t="s">
        <v>70</v>
      </c>
      <c r="B579" t="s">
        <v>18</v>
      </c>
      <c r="C579">
        <v>0</v>
      </c>
      <c r="D579" s="82">
        <v>45877</v>
      </c>
      <c r="E579" s="85">
        <v>0</v>
      </c>
      <c r="F579">
        <v>1</v>
      </c>
      <c r="G579">
        <v>2</v>
      </c>
      <c r="H579" t="s">
        <v>21</v>
      </c>
      <c r="I579">
        <v>3</v>
      </c>
    </row>
    <row r="580" spans="1:9" x14ac:dyDescent="0.15">
      <c r="A580" t="s">
        <v>70</v>
      </c>
      <c r="B580" t="s">
        <v>18</v>
      </c>
      <c r="C580">
        <v>0</v>
      </c>
      <c r="D580" s="82">
        <v>45877</v>
      </c>
      <c r="E580" s="85">
        <v>2.7777777777777779E-3</v>
      </c>
      <c r="F580">
        <v>0</v>
      </c>
      <c r="G580">
        <v>2</v>
      </c>
      <c r="H580" t="s">
        <v>21</v>
      </c>
      <c r="I580">
        <v>3</v>
      </c>
    </row>
    <row r="581" spans="1:9" x14ac:dyDescent="0.15">
      <c r="A581" t="s">
        <v>70</v>
      </c>
      <c r="B581" t="s">
        <v>18</v>
      </c>
      <c r="C581">
        <v>0</v>
      </c>
      <c r="D581" s="82">
        <v>45877</v>
      </c>
      <c r="E581" s="85">
        <v>4.1666666666666664E-2</v>
      </c>
      <c r="F581">
        <v>1</v>
      </c>
      <c r="G581">
        <v>2</v>
      </c>
      <c r="H581" t="s">
        <v>21</v>
      </c>
      <c r="I581">
        <v>4</v>
      </c>
    </row>
  </sheetData>
  <sortState xmlns:xlrd2="http://schemas.microsoft.com/office/spreadsheetml/2017/richdata2" ref="A2:S615">
    <sortCondition ref="B2:B615"/>
    <sortCondition ref="D2:D615"/>
    <sortCondition ref="E2:E6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61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7.33203125" customWidth="1"/>
    <col min="2" max="2" width="16.6640625" customWidth="1"/>
    <col min="3" max="3" width="15.6640625" customWidth="1"/>
    <col min="7" max="8" width="19" customWidth="1"/>
    <col min="9" max="9" width="12.6640625" customWidth="1"/>
  </cols>
  <sheetData>
    <row r="1" spans="1:9" ht="15.75" customHeight="1" x14ac:dyDescent="0.15">
      <c r="A1" s="1" t="s">
        <v>0</v>
      </c>
      <c r="B1" s="1" t="s">
        <v>3</v>
      </c>
      <c r="C1" s="1" t="s">
        <v>4</v>
      </c>
      <c r="D1" s="1" t="s">
        <v>5</v>
      </c>
      <c r="E1" s="5" t="s">
        <v>6</v>
      </c>
      <c r="F1" s="5" t="s">
        <v>8</v>
      </c>
      <c r="G1" s="5" t="s">
        <v>10</v>
      </c>
      <c r="H1" s="5" t="s">
        <v>13</v>
      </c>
      <c r="I1" s="5" t="s">
        <v>17</v>
      </c>
    </row>
    <row r="2" spans="1:9" ht="15.75" customHeight="1" x14ac:dyDescent="0.15">
      <c r="A2" s="6" t="s">
        <v>20</v>
      </c>
      <c r="B2" s="6" t="s">
        <v>23</v>
      </c>
      <c r="C2" s="8">
        <v>0</v>
      </c>
      <c r="D2" s="9">
        <v>45814</v>
      </c>
      <c r="E2" s="10">
        <v>0</v>
      </c>
      <c r="F2" s="8">
        <v>1</v>
      </c>
      <c r="G2" s="11"/>
      <c r="H2" s="11" t="s">
        <v>29</v>
      </c>
      <c r="I2" s="6">
        <v>3</v>
      </c>
    </row>
    <row r="3" spans="1:9" ht="15.75" customHeight="1" x14ac:dyDescent="0.15">
      <c r="A3" s="6" t="s">
        <v>20</v>
      </c>
      <c r="B3" s="6" t="s">
        <v>23</v>
      </c>
      <c r="C3" s="4">
        <v>0</v>
      </c>
      <c r="D3" s="9">
        <v>45815</v>
      </c>
      <c r="E3" s="10">
        <v>0</v>
      </c>
      <c r="F3" s="4">
        <v>1</v>
      </c>
      <c r="G3" s="11"/>
      <c r="H3" s="11" t="s">
        <v>29</v>
      </c>
      <c r="I3" s="4">
        <v>2</v>
      </c>
    </row>
    <row r="4" spans="1:9" ht="15.75" customHeight="1" x14ac:dyDescent="0.15">
      <c r="A4" s="12" t="s">
        <v>20</v>
      </c>
      <c r="B4" s="12" t="s">
        <v>37</v>
      </c>
      <c r="C4" s="12">
        <v>0</v>
      </c>
      <c r="D4" s="13">
        <v>45814</v>
      </c>
      <c r="E4" s="14">
        <v>0</v>
      </c>
      <c r="F4" s="12">
        <v>1</v>
      </c>
      <c r="G4" s="15"/>
      <c r="H4" s="15" t="s">
        <v>39</v>
      </c>
      <c r="I4" s="12">
        <v>3</v>
      </c>
    </row>
    <row r="5" spans="1:9" ht="15.75" customHeight="1" x14ac:dyDescent="0.15">
      <c r="A5" s="4" t="s">
        <v>20</v>
      </c>
      <c r="B5" s="4" t="s">
        <v>18</v>
      </c>
      <c r="C5" s="4">
        <v>0</v>
      </c>
      <c r="D5" s="9">
        <v>45814</v>
      </c>
      <c r="E5" s="10">
        <v>0</v>
      </c>
      <c r="F5" s="4">
        <v>1</v>
      </c>
      <c r="G5" s="16"/>
      <c r="H5" s="16" t="s">
        <v>21</v>
      </c>
      <c r="I5" s="4">
        <v>3</v>
      </c>
    </row>
    <row r="6" spans="1:9" ht="15.75" customHeight="1" x14ac:dyDescent="0.15">
      <c r="A6" s="4" t="s">
        <v>20</v>
      </c>
      <c r="B6" s="4" t="s">
        <v>18</v>
      </c>
      <c r="C6" s="4">
        <v>0</v>
      </c>
      <c r="D6" s="9">
        <v>45815</v>
      </c>
      <c r="E6" s="10">
        <v>0</v>
      </c>
      <c r="F6" s="4">
        <v>1</v>
      </c>
      <c r="G6" s="16"/>
      <c r="H6" s="16" t="s">
        <v>21</v>
      </c>
      <c r="I6" s="4">
        <v>2</v>
      </c>
    </row>
    <row r="7" spans="1:9" ht="15.75" customHeight="1" x14ac:dyDescent="0.15">
      <c r="A7" s="4" t="s">
        <v>40</v>
      </c>
      <c r="B7" s="4" t="s">
        <v>41</v>
      </c>
      <c r="C7" s="4"/>
      <c r="D7" s="9">
        <v>45874</v>
      </c>
      <c r="E7" s="10">
        <v>0</v>
      </c>
      <c r="F7" s="4">
        <v>0</v>
      </c>
      <c r="G7" s="7"/>
      <c r="H7" s="7" t="s">
        <v>42</v>
      </c>
      <c r="I7" s="4"/>
    </row>
    <row r="8" spans="1:9" ht="15.75" customHeight="1" x14ac:dyDescent="0.15">
      <c r="A8" s="4" t="s">
        <v>40</v>
      </c>
      <c r="B8" s="4" t="s">
        <v>41</v>
      </c>
      <c r="C8" s="4">
        <v>0</v>
      </c>
      <c r="D8" s="9">
        <v>45875</v>
      </c>
      <c r="E8" s="10">
        <v>0</v>
      </c>
      <c r="F8" s="4">
        <v>1</v>
      </c>
      <c r="G8" s="7"/>
      <c r="H8" s="7" t="s">
        <v>42</v>
      </c>
      <c r="I8" s="4">
        <v>2</v>
      </c>
    </row>
    <row r="9" spans="1:9" ht="15.75" customHeight="1" x14ac:dyDescent="0.15">
      <c r="A9" s="4" t="s">
        <v>40</v>
      </c>
      <c r="B9" s="4" t="s">
        <v>41</v>
      </c>
      <c r="C9" s="2"/>
      <c r="D9" s="9">
        <v>45876</v>
      </c>
      <c r="E9" s="10">
        <v>0</v>
      </c>
      <c r="F9" s="4">
        <v>0</v>
      </c>
      <c r="G9" s="7"/>
      <c r="H9" s="7" t="s">
        <v>42</v>
      </c>
    </row>
    <row r="10" spans="1:9" ht="15.75" customHeight="1" x14ac:dyDescent="0.15">
      <c r="A10" s="4" t="s">
        <v>40</v>
      </c>
      <c r="B10" s="4" t="s">
        <v>41</v>
      </c>
      <c r="C10" s="2"/>
      <c r="D10" s="9">
        <v>45877</v>
      </c>
      <c r="E10" s="10">
        <v>0</v>
      </c>
      <c r="F10" s="2">
        <v>1</v>
      </c>
      <c r="G10" s="7"/>
      <c r="H10" s="7" t="s">
        <v>42</v>
      </c>
    </row>
    <row r="11" spans="1:9" ht="15.75" customHeight="1" x14ac:dyDescent="0.15">
      <c r="A11" s="4" t="s">
        <v>40</v>
      </c>
      <c r="B11" s="4" t="s">
        <v>18</v>
      </c>
      <c r="C11" s="4">
        <v>0</v>
      </c>
      <c r="D11" s="9">
        <v>45877</v>
      </c>
      <c r="E11" s="10">
        <v>0</v>
      </c>
      <c r="F11" s="4">
        <v>1</v>
      </c>
      <c r="G11" s="16"/>
      <c r="H11" s="16" t="s">
        <v>21</v>
      </c>
      <c r="I11" s="4">
        <v>3</v>
      </c>
    </row>
    <row r="12" spans="1:9" ht="15.75" customHeight="1" x14ac:dyDescent="0.15">
      <c r="A12" s="4" t="s">
        <v>40</v>
      </c>
      <c r="B12" s="4" t="s">
        <v>48</v>
      </c>
      <c r="C12" s="4">
        <v>0</v>
      </c>
      <c r="D12" s="9">
        <v>45872</v>
      </c>
      <c r="E12" s="10">
        <v>0</v>
      </c>
      <c r="F12" s="4">
        <v>1</v>
      </c>
      <c r="G12" s="7"/>
      <c r="H12" s="7" t="s">
        <v>49</v>
      </c>
    </row>
    <row r="13" spans="1:9" ht="15.75" customHeight="1" x14ac:dyDescent="0.15">
      <c r="A13" s="4" t="s">
        <v>40</v>
      </c>
      <c r="B13" s="4" t="s">
        <v>48</v>
      </c>
      <c r="C13" s="4">
        <v>0</v>
      </c>
      <c r="D13" s="9">
        <v>45873</v>
      </c>
      <c r="E13" s="10">
        <v>0</v>
      </c>
      <c r="F13" s="4">
        <v>1</v>
      </c>
      <c r="G13" s="7"/>
      <c r="H13" s="7" t="s">
        <v>49</v>
      </c>
    </row>
    <row r="14" spans="1:9" ht="15.75" customHeight="1" x14ac:dyDescent="0.15">
      <c r="A14" s="4" t="s">
        <v>40</v>
      </c>
      <c r="B14" s="4" t="s">
        <v>48</v>
      </c>
      <c r="C14" s="4">
        <v>0</v>
      </c>
      <c r="D14" s="9">
        <v>45874</v>
      </c>
      <c r="E14" s="10">
        <v>0</v>
      </c>
      <c r="F14" s="4">
        <v>1</v>
      </c>
      <c r="G14" s="7"/>
      <c r="H14" s="7" t="s">
        <v>49</v>
      </c>
    </row>
    <row r="15" spans="1:9" ht="15.75" customHeight="1" x14ac:dyDescent="0.15">
      <c r="A15" s="4" t="s">
        <v>40</v>
      </c>
      <c r="B15" s="4" t="s">
        <v>48</v>
      </c>
      <c r="C15" s="4">
        <v>0</v>
      </c>
      <c r="D15" s="9">
        <v>45875</v>
      </c>
      <c r="E15" s="10">
        <v>0</v>
      </c>
      <c r="F15" s="4">
        <v>1</v>
      </c>
      <c r="G15" s="7"/>
      <c r="H15" s="7" t="s">
        <v>49</v>
      </c>
    </row>
    <row r="16" spans="1:9" ht="15.75" customHeight="1" x14ac:dyDescent="0.15">
      <c r="A16" s="4" t="s">
        <v>40</v>
      </c>
      <c r="B16" s="4" t="s">
        <v>48</v>
      </c>
      <c r="C16" s="4">
        <v>0</v>
      </c>
      <c r="D16" s="9">
        <v>45877</v>
      </c>
      <c r="E16" s="10">
        <v>0</v>
      </c>
      <c r="F16" s="4">
        <v>1</v>
      </c>
      <c r="G16" s="7"/>
      <c r="H16" s="7" t="s">
        <v>49</v>
      </c>
    </row>
    <row r="17" spans="1:9" ht="15.75" customHeight="1" x14ac:dyDescent="0.15">
      <c r="A17" s="4" t="s">
        <v>40</v>
      </c>
      <c r="B17" s="4" t="s">
        <v>23</v>
      </c>
      <c r="D17" s="9">
        <v>45877</v>
      </c>
      <c r="E17" s="10">
        <v>0</v>
      </c>
      <c r="F17" s="4">
        <v>1</v>
      </c>
      <c r="H17" s="11" t="s">
        <v>29</v>
      </c>
    </row>
    <row r="18" spans="1:9" ht="15.75" customHeight="1" x14ac:dyDescent="0.15">
      <c r="A18" s="6" t="s">
        <v>20</v>
      </c>
      <c r="B18" s="6" t="s">
        <v>23</v>
      </c>
      <c r="C18" s="4">
        <v>0</v>
      </c>
      <c r="D18" s="9"/>
      <c r="E18" s="10">
        <v>6.9444444444444447E-4</v>
      </c>
      <c r="F18" s="4">
        <v>0</v>
      </c>
      <c r="I18" s="4">
        <v>1</v>
      </c>
    </row>
    <row r="19" spans="1:9" ht="15.75" customHeight="1" x14ac:dyDescent="0.15">
      <c r="A19" s="6" t="s">
        <v>20</v>
      </c>
      <c r="B19" s="4" t="s">
        <v>37</v>
      </c>
      <c r="C19" s="4">
        <v>0</v>
      </c>
      <c r="E19" s="10">
        <v>6.9444444444444447E-4</v>
      </c>
      <c r="F19" s="4">
        <v>0</v>
      </c>
      <c r="I19" s="4">
        <v>3</v>
      </c>
    </row>
    <row r="20" spans="1:9" ht="15.75" customHeight="1" x14ac:dyDescent="0.15">
      <c r="A20" s="6" t="s">
        <v>20</v>
      </c>
      <c r="B20" s="4" t="s">
        <v>18</v>
      </c>
      <c r="C20" s="4">
        <v>0</v>
      </c>
      <c r="E20" s="10">
        <v>6.9444444444444447E-4</v>
      </c>
      <c r="F20" s="4">
        <v>0</v>
      </c>
      <c r="I20" s="4">
        <v>3</v>
      </c>
    </row>
    <row r="21" spans="1:9" ht="15.75" customHeight="1" x14ac:dyDescent="0.15">
      <c r="A21" s="6" t="s">
        <v>20</v>
      </c>
      <c r="B21" s="4" t="s">
        <v>18</v>
      </c>
      <c r="C21" s="4">
        <v>0</v>
      </c>
      <c r="E21" s="10">
        <v>6.9444444444444447E-4</v>
      </c>
      <c r="F21" s="4">
        <v>0</v>
      </c>
      <c r="I21" s="4">
        <v>2</v>
      </c>
    </row>
    <row r="22" spans="1:9" ht="15.75" customHeight="1" x14ac:dyDescent="0.15">
      <c r="A22" s="4" t="s">
        <v>40</v>
      </c>
      <c r="B22" s="4" t="s">
        <v>48</v>
      </c>
      <c r="C22" s="4">
        <v>0</v>
      </c>
      <c r="D22" s="9">
        <v>45871</v>
      </c>
      <c r="E22" s="10">
        <v>6.9444444444444447E-4</v>
      </c>
      <c r="F22" s="4">
        <v>1</v>
      </c>
      <c r="G22" s="7"/>
      <c r="H22" s="7" t="s">
        <v>49</v>
      </c>
    </row>
    <row r="23" spans="1:9" ht="15.75" customHeight="1" x14ac:dyDescent="0.15">
      <c r="A23" s="4" t="s">
        <v>40</v>
      </c>
      <c r="B23" s="4" t="s">
        <v>48</v>
      </c>
      <c r="C23" s="4">
        <v>0</v>
      </c>
      <c r="E23" s="10">
        <v>6.9444444444444447E-4</v>
      </c>
      <c r="F23" s="4">
        <v>0</v>
      </c>
    </row>
    <row r="24" spans="1:9" ht="15.75" customHeight="1" x14ac:dyDescent="0.15">
      <c r="A24" s="4" t="s">
        <v>40</v>
      </c>
      <c r="B24" s="4" t="s">
        <v>48</v>
      </c>
      <c r="C24" s="4">
        <v>0</v>
      </c>
      <c r="E24" s="10">
        <v>6.9444444444444447E-4</v>
      </c>
      <c r="F24" s="4">
        <v>0</v>
      </c>
    </row>
    <row r="25" spans="1:9" ht="15.75" customHeight="1" x14ac:dyDescent="0.15">
      <c r="A25" s="4" t="s">
        <v>40</v>
      </c>
      <c r="B25" s="4" t="s">
        <v>48</v>
      </c>
      <c r="C25" s="4">
        <v>0</v>
      </c>
      <c r="E25" s="10">
        <v>6.9444444444444447E-4</v>
      </c>
      <c r="F25" s="4">
        <v>0</v>
      </c>
    </row>
    <row r="26" spans="1:9" ht="15.75" customHeight="1" x14ac:dyDescent="0.15">
      <c r="A26" s="4" t="s">
        <v>40</v>
      </c>
      <c r="B26" s="4" t="s">
        <v>48</v>
      </c>
      <c r="C26" s="4">
        <v>0</v>
      </c>
      <c r="E26" s="10">
        <v>6.9444444444444447E-4</v>
      </c>
      <c r="F26" s="4">
        <v>0</v>
      </c>
    </row>
    <row r="27" spans="1:9" ht="15.75" customHeight="1" x14ac:dyDescent="0.15">
      <c r="A27" s="4" t="s">
        <v>40</v>
      </c>
      <c r="B27" s="4" t="s">
        <v>23</v>
      </c>
      <c r="E27" s="10">
        <v>6.9444444444444447E-4</v>
      </c>
      <c r="F27" s="4">
        <v>0</v>
      </c>
    </row>
    <row r="28" spans="1:9" ht="15.75" customHeight="1" x14ac:dyDescent="0.15">
      <c r="A28" s="6" t="s">
        <v>20</v>
      </c>
      <c r="B28" s="6" t="s">
        <v>23</v>
      </c>
      <c r="C28" s="4">
        <v>0</v>
      </c>
      <c r="D28" s="9"/>
      <c r="E28" s="10">
        <v>1.3888888888888889E-3</v>
      </c>
      <c r="F28" s="4">
        <v>0</v>
      </c>
      <c r="I28" s="4">
        <v>3</v>
      </c>
    </row>
    <row r="29" spans="1:9" ht="15.75" customHeight="1" x14ac:dyDescent="0.15">
      <c r="A29" s="28" t="s">
        <v>20</v>
      </c>
      <c r="B29" s="25" t="s">
        <v>37</v>
      </c>
      <c r="C29" s="25">
        <v>0</v>
      </c>
      <c r="D29" s="25"/>
      <c r="E29" s="30">
        <v>1.3888888888888889E-3</v>
      </c>
      <c r="F29" s="25">
        <v>0</v>
      </c>
      <c r="G29" s="25"/>
      <c r="H29" s="25"/>
      <c r="I29" s="25">
        <v>3</v>
      </c>
    </row>
    <row r="30" spans="1:9" ht="15.75" customHeight="1" x14ac:dyDescent="0.15">
      <c r="A30" s="12" t="s">
        <v>20</v>
      </c>
      <c r="B30" s="12" t="s">
        <v>37</v>
      </c>
      <c r="C30" s="4">
        <v>0</v>
      </c>
      <c r="D30" s="9">
        <v>45815</v>
      </c>
      <c r="E30" s="10">
        <v>1.3888888888888889E-3</v>
      </c>
      <c r="F30" s="4">
        <v>1</v>
      </c>
      <c r="G30" s="11"/>
      <c r="H30" s="15" t="s">
        <v>39</v>
      </c>
      <c r="I30" s="4">
        <v>3</v>
      </c>
    </row>
    <row r="31" spans="1:9" ht="15.75" customHeight="1" x14ac:dyDescent="0.15">
      <c r="A31" s="6" t="s">
        <v>20</v>
      </c>
      <c r="B31" s="4" t="s">
        <v>18</v>
      </c>
      <c r="C31" s="4">
        <v>0</v>
      </c>
      <c r="E31" s="10">
        <v>1.3888888888888889E-3</v>
      </c>
      <c r="F31" s="4">
        <v>0</v>
      </c>
      <c r="I31" s="4">
        <v>3</v>
      </c>
    </row>
    <row r="32" spans="1:9" ht="15.75" customHeight="1" x14ac:dyDescent="0.15">
      <c r="A32" s="6" t="s">
        <v>20</v>
      </c>
      <c r="B32" s="4" t="s">
        <v>18</v>
      </c>
      <c r="C32" s="4">
        <v>0</v>
      </c>
      <c r="E32" s="10">
        <v>1.3888888888888889E-3</v>
      </c>
      <c r="F32" s="4">
        <v>0</v>
      </c>
      <c r="I32" s="4">
        <v>3</v>
      </c>
    </row>
    <row r="33" spans="1:9" ht="15.75" customHeight="1" x14ac:dyDescent="0.15">
      <c r="A33" s="4" t="s">
        <v>40</v>
      </c>
      <c r="B33" s="4" t="s">
        <v>41</v>
      </c>
      <c r="C33" s="4">
        <v>0</v>
      </c>
      <c r="D33" s="9"/>
      <c r="E33" s="10">
        <v>1.3888888888888889E-3</v>
      </c>
      <c r="F33" s="4">
        <v>1</v>
      </c>
      <c r="G33" s="7"/>
      <c r="H33" s="7"/>
      <c r="I33" s="4"/>
    </row>
    <row r="34" spans="1:9" ht="15.75" customHeight="1" x14ac:dyDescent="0.15">
      <c r="A34" s="4" t="s">
        <v>40</v>
      </c>
      <c r="B34" s="4" t="s">
        <v>48</v>
      </c>
      <c r="C34" s="4">
        <v>0</v>
      </c>
      <c r="E34" s="10">
        <v>1.3888888888888889E-3</v>
      </c>
      <c r="F34" s="4">
        <v>0</v>
      </c>
    </row>
    <row r="35" spans="1:9" ht="15.75" customHeight="1" x14ac:dyDescent="0.15">
      <c r="A35" s="4" t="s">
        <v>40</v>
      </c>
      <c r="B35" s="4" t="s">
        <v>48</v>
      </c>
      <c r="C35" s="4">
        <v>0</v>
      </c>
      <c r="E35" s="10">
        <v>1.3888888888888889E-3</v>
      </c>
      <c r="F35" s="4">
        <v>0</v>
      </c>
    </row>
    <row r="36" spans="1:9" ht="15.75" customHeight="1" x14ac:dyDescent="0.15">
      <c r="A36" s="4" t="s">
        <v>40</v>
      </c>
      <c r="B36" s="4" t="s">
        <v>48</v>
      </c>
      <c r="C36" s="4">
        <v>0</v>
      </c>
      <c r="E36" s="10">
        <v>1.3888888888888889E-3</v>
      </c>
      <c r="F36" s="4">
        <v>0</v>
      </c>
    </row>
    <row r="37" spans="1:9" ht="15.75" customHeight="1" x14ac:dyDescent="0.15">
      <c r="A37" s="4" t="s">
        <v>40</v>
      </c>
      <c r="B37" s="4" t="s">
        <v>48</v>
      </c>
      <c r="C37" s="4">
        <v>0</v>
      </c>
      <c r="E37" s="10">
        <v>1.3888888888888889E-3</v>
      </c>
      <c r="F37" s="4">
        <v>0</v>
      </c>
    </row>
    <row r="38" spans="1:9" ht="15.75" customHeight="1" x14ac:dyDescent="0.15">
      <c r="A38" s="4" t="s">
        <v>40</v>
      </c>
      <c r="B38" s="4" t="s">
        <v>48</v>
      </c>
      <c r="C38" s="4">
        <v>0</v>
      </c>
      <c r="E38" s="10">
        <v>1.3888888888888889E-3</v>
      </c>
      <c r="F38" s="4">
        <v>0</v>
      </c>
    </row>
    <row r="39" spans="1:9" ht="15.75" customHeight="1" x14ac:dyDescent="0.15">
      <c r="A39" s="4" t="s">
        <v>40</v>
      </c>
      <c r="B39" s="4" t="s">
        <v>48</v>
      </c>
      <c r="C39" s="4">
        <v>0</v>
      </c>
      <c r="E39" s="10">
        <v>1.3888888888888889E-3</v>
      </c>
      <c r="F39" s="4">
        <v>0</v>
      </c>
    </row>
    <row r="40" spans="1:9" ht="15.75" customHeight="1" x14ac:dyDescent="0.15">
      <c r="A40" s="4" t="s">
        <v>40</v>
      </c>
      <c r="B40" s="4" t="s">
        <v>23</v>
      </c>
      <c r="E40" s="10">
        <v>1.3888888888888889E-3</v>
      </c>
      <c r="F40" s="4">
        <v>0</v>
      </c>
    </row>
    <row r="41" spans="1:9" ht="15.75" customHeight="1" x14ac:dyDescent="0.15">
      <c r="A41" s="32" t="s">
        <v>20</v>
      </c>
      <c r="B41" s="32" t="s">
        <v>23</v>
      </c>
      <c r="C41" s="29">
        <v>0</v>
      </c>
      <c r="D41" s="33"/>
      <c r="E41" s="34">
        <v>2.0833333333333333E-3</v>
      </c>
      <c r="F41" s="29">
        <v>0</v>
      </c>
      <c r="G41" s="29"/>
      <c r="H41" s="29"/>
      <c r="I41" s="29">
        <v>3</v>
      </c>
    </row>
    <row r="42" spans="1:9" ht="15.75" customHeight="1" x14ac:dyDescent="0.15">
      <c r="A42" s="6" t="s">
        <v>20</v>
      </c>
      <c r="B42" s="4" t="s">
        <v>37</v>
      </c>
      <c r="C42" s="4">
        <v>0</v>
      </c>
      <c r="E42" s="10">
        <v>2.0833333333333333E-3</v>
      </c>
      <c r="F42" s="4">
        <v>0</v>
      </c>
      <c r="I42" s="4">
        <v>3</v>
      </c>
    </row>
    <row r="43" spans="1:9" ht="15.75" customHeight="1" x14ac:dyDescent="0.15">
      <c r="A43" s="6" t="s">
        <v>20</v>
      </c>
      <c r="B43" s="4" t="s">
        <v>37</v>
      </c>
      <c r="C43" s="4">
        <v>0</v>
      </c>
      <c r="E43" s="10">
        <v>2.0833333333333333E-3</v>
      </c>
      <c r="F43" s="4">
        <v>0</v>
      </c>
      <c r="I43" s="4">
        <v>3</v>
      </c>
    </row>
    <row r="44" spans="1:9" ht="15.75" customHeight="1" x14ac:dyDescent="0.15">
      <c r="A44" s="6" t="s">
        <v>20</v>
      </c>
      <c r="B44" s="4" t="s">
        <v>18</v>
      </c>
      <c r="C44" s="4">
        <v>0</v>
      </c>
      <c r="E44" s="10">
        <v>2.0833333333333333E-3</v>
      </c>
      <c r="F44" s="4">
        <v>0</v>
      </c>
      <c r="I44" s="4">
        <v>3</v>
      </c>
    </row>
    <row r="45" spans="1:9" ht="15.75" customHeight="1" x14ac:dyDescent="0.15">
      <c r="A45" s="6" t="s">
        <v>20</v>
      </c>
      <c r="B45" s="4" t="s">
        <v>18</v>
      </c>
      <c r="C45" s="4">
        <v>0</v>
      </c>
      <c r="E45" s="10">
        <v>2.0833333333333333E-3</v>
      </c>
      <c r="F45" s="4">
        <v>0</v>
      </c>
      <c r="I45" s="4">
        <v>3</v>
      </c>
    </row>
    <row r="46" spans="1:9" ht="15.75" customHeight="1" x14ac:dyDescent="0.15">
      <c r="A46" s="4" t="s">
        <v>40</v>
      </c>
      <c r="B46" s="4" t="s">
        <v>48</v>
      </c>
      <c r="C46" s="4">
        <v>0</v>
      </c>
      <c r="E46" s="10">
        <v>2.0833333333333333E-3</v>
      </c>
      <c r="F46" s="4">
        <v>0</v>
      </c>
    </row>
    <row r="47" spans="1:9" ht="15.75" customHeight="1" x14ac:dyDescent="0.15">
      <c r="A47" s="4" t="s">
        <v>40</v>
      </c>
      <c r="B47" s="4" t="s">
        <v>48</v>
      </c>
      <c r="C47" s="4">
        <v>0</v>
      </c>
      <c r="E47" s="10">
        <v>2.0833333333333333E-3</v>
      </c>
      <c r="F47" s="4">
        <v>0</v>
      </c>
    </row>
    <row r="48" spans="1:9" ht="15.75" customHeight="1" x14ac:dyDescent="0.15">
      <c r="A48" s="4" t="s">
        <v>40</v>
      </c>
      <c r="B48" s="4" t="s">
        <v>48</v>
      </c>
      <c r="C48" s="4">
        <v>0</v>
      </c>
      <c r="E48" s="10">
        <v>2.0833333333333333E-3</v>
      </c>
      <c r="F48" s="4">
        <v>0</v>
      </c>
    </row>
    <row r="49" spans="1:9" ht="15.75" customHeight="1" x14ac:dyDescent="0.15">
      <c r="A49" s="4" t="s">
        <v>40</v>
      </c>
      <c r="B49" s="4" t="s">
        <v>48</v>
      </c>
      <c r="C49" s="4">
        <v>0</v>
      </c>
      <c r="E49" s="10">
        <v>2.0833333333333333E-3</v>
      </c>
      <c r="F49" s="4">
        <v>0</v>
      </c>
    </row>
    <row r="50" spans="1:9" ht="15.75" customHeight="1" x14ac:dyDescent="0.15">
      <c r="A50" s="4" t="s">
        <v>40</v>
      </c>
      <c r="B50" s="4" t="s">
        <v>23</v>
      </c>
      <c r="E50" s="10">
        <v>2.0833333333333333E-3</v>
      </c>
      <c r="F50" s="4">
        <v>0</v>
      </c>
    </row>
    <row r="51" spans="1:9" ht="15.75" customHeight="1" x14ac:dyDescent="0.15">
      <c r="A51" s="6" t="s">
        <v>20</v>
      </c>
      <c r="B51" s="6" t="s">
        <v>23</v>
      </c>
      <c r="C51" s="4">
        <v>0</v>
      </c>
      <c r="D51" s="9"/>
      <c r="E51" s="10">
        <v>2.7777777777777779E-3</v>
      </c>
      <c r="F51" s="4">
        <v>0</v>
      </c>
      <c r="I51" s="4">
        <v>3</v>
      </c>
    </row>
    <row r="52" spans="1:9" ht="15.75" customHeight="1" x14ac:dyDescent="0.15">
      <c r="A52" s="6" t="s">
        <v>20</v>
      </c>
      <c r="B52" s="4" t="s">
        <v>37</v>
      </c>
      <c r="C52" s="4">
        <v>0</v>
      </c>
      <c r="E52" s="10">
        <v>2.7777777777777779E-3</v>
      </c>
      <c r="F52" s="4">
        <v>0</v>
      </c>
      <c r="I52" s="4">
        <v>3</v>
      </c>
    </row>
    <row r="53" spans="1:9" ht="15.75" customHeight="1" x14ac:dyDescent="0.15">
      <c r="A53" s="6" t="s">
        <v>20</v>
      </c>
      <c r="B53" s="4" t="s">
        <v>37</v>
      </c>
      <c r="C53" s="4">
        <v>0</v>
      </c>
      <c r="E53" s="10">
        <v>2.7777777777777779E-3</v>
      </c>
      <c r="F53" s="4">
        <v>0</v>
      </c>
      <c r="I53" s="4">
        <v>3</v>
      </c>
    </row>
    <row r="54" spans="1:9" ht="15.75" customHeight="1" x14ac:dyDescent="0.15">
      <c r="A54" s="6" t="s">
        <v>20</v>
      </c>
      <c r="B54" s="4" t="s">
        <v>18</v>
      </c>
      <c r="C54" s="4">
        <v>0</v>
      </c>
      <c r="E54" s="10">
        <v>2.7777777777777779E-3</v>
      </c>
      <c r="F54" s="4">
        <v>0</v>
      </c>
      <c r="I54" s="4">
        <v>3</v>
      </c>
    </row>
    <row r="55" spans="1:9" ht="15.75" customHeight="1" x14ac:dyDescent="0.15">
      <c r="A55" s="6" t="s">
        <v>20</v>
      </c>
      <c r="B55" s="4" t="s">
        <v>18</v>
      </c>
      <c r="C55" s="4">
        <v>0</v>
      </c>
      <c r="E55" s="10">
        <v>2.7777777777777779E-3</v>
      </c>
      <c r="F55" s="4">
        <v>0</v>
      </c>
      <c r="I55" s="4">
        <v>3</v>
      </c>
    </row>
    <row r="56" spans="1:9" ht="15.75" customHeight="1" x14ac:dyDescent="0.15">
      <c r="A56" s="4" t="s">
        <v>40</v>
      </c>
      <c r="B56" s="4" t="s">
        <v>18</v>
      </c>
      <c r="C56" s="4">
        <v>0</v>
      </c>
      <c r="E56" s="10">
        <v>2.7777777777777779E-3</v>
      </c>
      <c r="F56" s="4">
        <v>0</v>
      </c>
      <c r="I56" s="4">
        <v>3</v>
      </c>
    </row>
    <row r="57" spans="1:9" ht="15.75" customHeight="1" x14ac:dyDescent="0.15">
      <c r="A57" s="4" t="s">
        <v>40</v>
      </c>
      <c r="B57" s="4" t="s">
        <v>48</v>
      </c>
      <c r="C57" s="4">
        <v>0</v>
      </c>
      <c r="E57" s="10">
        <v>2.7777777777777779E-3</v>
      </c>
      <c r="F57" s="4">
        <v>0</v>
      </c>
    </row>
    <row r="58" spans="1:9" ht="15.75" customHeight="1" x14ac:dyDescent="0.15">
      <c r="A58" s="4" t="s">
        <v>40</v>
      </c>
      <c r="B58" s="4" t="s">
        <v>48</v>
      </c>
      <c r="C58" s="4">
        <v>0</v>
      </c>
      <c r="E58" s="10">
        <v>2.7777777777777779E-3</v>
      </c>
      <c r="F58" s="4">
        <v>0</v>
      </c>
    </row>
    <row r="59" spans="1:9" ht="15.75" customHeight="1" x14ac:dyDescent="0.15">
      <c r="A59" s="4" t="s">
        <v>40</v>
      </c>
      <c r="B59" s="4" t="s">
        <v>48</v>
      </c>
      <c r="C59" s="4">
        <v>0</v>
      </c>
      <c r="E59" s="10">
        <v>2.7777777777777779E-3</v>
      </c>
      <c r="F59" s="4">
        <v>0</v>
      </c>
    </row>
    <row r="60" spans="1:9" ht="15.75" customHeight="1" x14ac:dyDescent="0.15">
      <c r="A60" s="4" t="s">
        <v>40</v>
      </c>
      <c r="B60" s="4" t="s">
        <v>48</v>
      </c>
      <c r="C60" s="4">
        <v>0</v>
      </c>
      <c r="E60" s="10">
        <v>2.7777777777777779E-3</v>
      </c>
      <c r="F60" s="4">
        <v>0</v>
      </c>
    </row>
    <row r="61" spans="1:9" ht="15.75" customHeight="1" x14ac:dyDescent="0.15">
      <c r="A61" s="4" t="s">
        <v>40</v>
      </c>
      <c r="B61" s="4" t="s">
        <v>48</v>
      </c>
      <c r="C61" s="4">
        <v>0</v>
      </c>
      <c r="E61" s="10">
        <v>2.7777777777777779E-3</v>
      </c>
      <c r="F61" s="4">
        <v>0</v>
      </c>
    </row>
    <row r="62" spans="1:9" ht="13" x14ac:dyDescent="0.15">
      <c r="A62" s="4" t="s">
        <v>40</v>
      </c>
      <c r="B62" s="4" t="s">
        <v>23</v>
      </c>
      <c r="E62" s="10">
        <v>2.7777777777777779E-3</v>
      </c>
      <c r="F62" s="4">
        <v>0</v>
      </c>
    </row>
    <row r="63" spans="1:9" ht="13" x14ac:dyDescent="0.15">
      <c r="A63" s="6" t="s">
        <v>20</v>
      </c>
      <c r="B63" s="6" t="s">
        <v>23</v>
      </c>
      <c r="C63" s="8">
        <v>0</v>
      </c>
      <c r="D63" s="9"/>
      <c r="E63" s="10">
        <v>4.1666666666666664E-2</v>
      </c>
      <c r="F63" s="6">
        <v>1</v>
      </c>
      <c r="G63" s="11"/>
      <c r="H63" s="11"/>
      <c r="I63" s="6">
        <v>1</v>
      </c>
    </row>
    <row r="64" spans="1:9" ht="13" x14ac:dyDescent="0.15">
      <c r="A64" s="6" t="s">
        <v>20</v>
      </c>
      <c r="B64" s="6" t="s">
        <v>23</v>
      </c>
      <c r="C64" s="4">
        <v>0</v>
      </c>
      <c r="D64" s="9"/>
      <c r="E64" s="10">
        <v>4.1666666666666664E-2</v>
      </c>
      <c r="F64" s="4">
        <v>1</v>
      </c>
      <c r="I64" s="4">
        <v>2</v>
      </c>
    </row>
    <row r="65" spans="1:9" ht="13" x14ac:dyDescent="0.15">
      <c r="A65" s="6" t="s">
        <v>20</v>
      </c>
      <c r="B65" s="4" t="s">
        <v>18</v>
      </c>
      <c r="C65" s="4">
        <v>0</v>
      </c>
      <c r="E65" s="10">
        <v>4.1666666666666664E-2</v>
      </c>
      <c r="F65" s="4">
        <v>1</v>
      </c>
      <c r="I65" s="4">
        <v>2</v>
      </c>
    </row>
    <row r="66" spans="1:9" ht="13" x14ac:dyDescent="0.15">
      <c r="A66" s="4" t="s">
        <v>40</v>
      </c>
      <c r="B66" s="4" t="s">
        <v>41</v>
      </c>
      <c r="C66" s="4">
        <v>0</v>
      </c>
      <c r="D66" s="9"/>
      <c r="E66" s="10">
        <v>4.1666666666666664E-2</v>
      </c>
      <c r="F66" s="4">
        <v>1</v>
      </c>
      <c r="G66" s="7"/>
      <c r="H66" s="7"/>
      <c r="I66" s="4"/>
    </row>
    <row r="67" spans="1:9" ht="13" x14ac:dyDescent="0.15">
      <c r="A67" s="25" t="s">
        <v>40</v>
      </c>
      <c r="B67" s="25" t="s">
        <v>41</v>
      </c>
      <c r="C67" s="25"/>
      <c r="D67" s="35"/>
      <c r="E67" s="30">
        <v>4.1666666666666664E-2</v>
      </c>
      <c r="F67" s="25">
        <v>1</v>
      </c>
      <c r="G67" s="36"/>
      <c r="H67" s="36"/>
      <c r="I67" s="25"/>
    </row>
    <row r="68" spans="1:9" ht="13" x14ac:dyDescent="0.15">
      <c r="A68" s="4" t="s">
        <v>40</v>
      </c>
      <c r="B68" s="4" t="s">
        <v>41</v>
      </c>
      <c r="E68" s="10">
        <v>4.1666666666666664E-2</v>
      </c>
      <c r="F68" s="4">
        <v>0</v>
      </c>
    </row>
    <row r="69" spans="1:9" ht="13" x14ac:dyDescent="0.15">
      <c r="A69" s="4" t="s">
        <v>40</v>
      </c>
      <c r="B69" s="4" t="s">
        <v>41</v>
      </c>
      <c r="E69" s="10">
        <v>4.1666666666666664E-2</v>
      </c>
      <c r="F69" s="4">
        <v>1</v>
      </c>
    </row>
    <row r="70" spans="1:9" ht="13" x14ac:dyDescent="0.15">
      <c r="A70" s="4" t="s">
        <v>40</v>
      </c>
      <c r="B70" s="4" t="s">
        <v>18</v>
      </c>
      <c r="C70" s="4">
        <v>0</v>
      </c>
      <c r="E70" s="10">
        <v>4.1666666666666664E-2</v>
      </c>
      <c r="F70" s="4">
        <v>1</v>
      </c>
      <c r="I70" s="4">
        <v>4</v>
      </c>
    </row>
    <row r="71" spans="1:9" ht="13" x14ac:dyDescent="0.15">
      <c r="A71" s="4" t="s">
        <v>40</v>
      </c>
      <c r="B71" s="4" t="s">
        <v>48</v>
      </c>
      <c r="C71" s="4">
        <v>0</v>
      </c>
      <c r="E71" s="10">
        <v>4.1666666666666664E-2</v>
      </c>
      <c r="F71" s="4">
        <v>1</v>
      </c>
    </row>
    <row r="72" spans="1:9" ht="13" x14ac:dyDescent="0.15">
      <c r="A72" s="4" t="s">
        <v>40</v>
      </c>
      <c r="B72" s="4" t="s">
        <v>48</v>
      </c>
      <c r="C72" s="4">
        <v>0</v>
      </c>
      <c r="E72" s="10">
        <v>4.1666666666666664E-2</v>
      </c>
      <c r="F72" s="4">
        <v>1</v>
      </c>
    </row>
    <row r="73" spans="1:9" ht="13" x14ac:dyDescent="0.15">
      <c r="A73" s="29" t="s">
        <v>40</v>
      </c>
      <c r="B73" s="29" t="s">
        <v>48</v>
      </c>
      <c r="C73" s="29">
        <v>0</v>
      </c>
      <c r="D73" s="29"/>
      <c r="E73" s="34">
        <v>4.1666666666666664E-2</v>
      </c>
      <c r="F73" s="29">
        <v>1</v>
      </c>
      <c r="G73" s="29"/>
      <c r="H73" s="29"/>
      <c r="I73" s="29"/>
    </row>
    <row r="74" spans="1:9" ht="13" x14ac:dyDescent="0.15">
      <c r="A74" s="4" t="s">
        <v>40</v>
      </c>
      <c r="B74" s="4" t="s">
        <v>48</v>
      </c>
      <c r="C74" s="4">
        <v>0</v>
      </c>
      <c r="E74" s="10">
        <v>4.1666666666666664E-2</v>
      </c>
      <c r="F74" s="4">
        <v>1</v>
      </c>
    </row>
    <row r="75" spans="1:9" ht="13" x14ac:dyDescent="0.15">
      <c r="A75" s="4" t="s">
        <v>40</v>
      </c>
      <c r="B75" s="4" t="s">
        <v>48</v>
      </c>
      <c r="C75" s="4">
        <v>0</v>
      </c>
      <c r="E75" s="10">
        <v>4.1666666666666664E-2</v>
      </c>
      <c r="F75" s="4">
        <v>1</v>
      </c>
    </row>
    <row r="76" spans="1:9" ht="13" x14ac:dyDescent="0.15">
      <c r="A76" s="25" t="s">
        <v>40</v>
      </c>
      <c r="B76" s="25" t="s">
        <v>23</v>
      </c>
      <c r="C76" s="25"/>
      <c r="D76" s="25"/>
      <c r="E76" s="30">
        <v>4.1666666666666664E-2</v>
      </c>
      <c r="F76" s="25">
        <v>1</v>
      </c>
      <c r="G76" s="25"/>
      <c r="H76" s="25"/>
      <c r="I76" s="25"/>
    </row>
    <row r="77" spans="1:9" ht="13" x14ac:dyDescent="0.15">
      <c r="A77" s="6" t="s">
        <v>20</v>
      </c>
      <c r="B77" s="6" t="s">
        <v>23</v>
      </c>
      <c r="C77" s="8">
        <v>0</v>
      </c>
      <c r="D77" s="9"/>
      <c r="E77" s="10">
        <v>4.2361111111111113E-2</v>
      </c>
      <c r="F77" s="6">
        <v>0</v>
      </c>
      <c r="G77" s="11"/>
      <c r="H77" s="11"/>
      <c r="I77" s="6">
        <v>1</v>
      </c>
    </row>
    <row r="78" spans="1:9" ht="13" x14ac:dyDescent="0.15">
      <c r="A78" s="6" t="s">
        <v>20</v>
      </c>
      <c r="B78" s="4" t="s">
        <v>18</v>
      </c>
      <c r="C78" s="4">
        <v>0</v>
      </c>
      <c r="E78" s="10">
        <v>4.2361111111111113E-2</v>
      </c>
      <c r="F78" s="4">
        <v>0</v>
      </c>
      <c r="I78" s="4">
        <v>1</v>
      </c>
    </row>
    <row r="79" spans="1:9" ht="13" x14ac:dyDescent="0.15">
      <c r="A79" s="4" t="s">
        <v>40</v>
      </c>
      <c r="B79" s="4" t="s">
        <v>48</v>
      </c>
      <c r="C79" s="4">
        <v>0</v>
      </c>
      <c r="E79" s="10">
        <v>4.2361111111111113E-2</v>
      </c>
      <c r="F79" s="4">
        <v>1</v>
      </c>
    </row>
    <row r="80" spans="1:9" ht="13" x14ac:dyDescent="0.15">
      <c r="A80" s="29" t="s">
        <v>40</v>
      </c>
      <c r="B80" s="29" t="s">
        <v>48</v>
      </c>
      <c r="C80" s="29">
        <v>0</v>
      </c>
      <c r="D80" s="29"/>
      <c r="E80" s="34">
        <v>4.2361111111111113E-2</v>
      </c>
      <c r="F80" s="29">
        <v>0</v>
      </c>
      <c r="G80" s="29"/>
      <c r="H80" s="29"/>
      <c r="I80" s="29"/>
    </row>
    <row r="81" spans="1:9" ht="13" x14ac:dyDescent="0.15">
      <c r="A81" s="4" t="s">
        <v>40</v>
      </c>
      <c r="B81" s="4" t="s">
        <v>48</v>
      </c>
      <c r="C81" s="4">
        <v>0</v>
      </c>
      <c r="E81" s="10">
        <v>4.2361111111111113E-2</v>
      </c>
      <c r="F81" s="4">
        <v>0</v>
      </c>
    </row>
    <row r="82" spans="1:9" ht="13" x14ac:dyDescent="0.15">
      <c r="A82" s="4" t="s">
        <v>40</v>
      </c>
      <c r="B82" s="4" t="s">
        <v>48</v>
      </c>
      <c r="C82" s="4">
        <v>0</v>
      </c>
      <c r="E82" s="10">
        <v>4.2361111111111113E-2</v>
      </c>
      <c r="F82" s="4">
        <v>0</v>
      </c>
    </row>
    <row r="83" spans="1:9" ht="13" x14ac:dyDescent="0.15">
      <c r="A83" s="25" t="s">
        <v>40</v>
      </c>
      <c r="B83" s="25" t="s">
        <v>48</v>
      </c>
      <c r="C83" s="25">
        <v>0</v>
      </c>
      <c r="D83" s="25"/>
      <c r="E83" s="30">
        <v>4.2361111111111113E-2</v>
      </c>
      <c r="F83" s="25">
        <v>0</v>
      </c>
      <c r="G83" s="25"/>
      <c r="H83" s="25"/>
      <c r="I83" s="25"/>
    </row>
    <row r="84" spans="1:9" ht="13" x14ac:dyDescent="0.15">
      <c r="A84" s="4" t="s">
        <v>40</v>
      </c>
      <c r="B84" s="4" t="s">
        <v>48</v>
      </c>
      <c r="C84" s="4">
        <v>0</v>
      </c>
      <c r="D84" s="9">
        <v>45876</v>
      </c>
      <c r="E84" s="10">
        <v>4.2361111111111113E-2</v>
      </c>
      <c r="F84" s="4">
        <v>1</v>
      </c>
      <c r="G84" s="7"/>
      <c r="H84" s="7" t="s">
        <v>49</v>
      </c>
    </row>
    <row r="85" spans="1:9" ht="13" x14ac:dyDescent="0.15">
      <c r="A85" s="4" t="s">
        <v>40</v>
      </c>
      <c r="B85" s="4" t="s">
        <v>48</v>
      </c>
      <c r="C85" s="4">
        <v>0</v>
      </c>
      <c r="E85" s="10">
        <v>4.2361111111111113E-2</v>
      </c>
      <c r="F85" s="4">
        <v>0</v>
      </c>
    </row>
    <row r="86" spans="1:9" ht="13" x14ac:dyDescent="0.15">
      <c r="A86" s="4" t="s">
        <v>40</v>
      </c>
      <c r="B86" s="4" t="s">
        <v>23</v>
      </c>
      <c r="E86" s="10">
        <v>4.2361111111111113E-2</v>
      </c>
      <c r="F86" s="4">
        <v>0</v>
      </c>
    </row>
    <row r="87" spans="1:9" ht="13" x14ac:dyDescent="0.15">
      <c r="A87" s="6" t="s">
        <v>20</v>
      </c>
      <c r="B87" s="6" t="s">
        <v>23</v>
      </c>
      <c r="C87" s="8">
        <v>0</v>
      </c>
      <c r="D87" s="9"/>
      <c r="E87" s="10">
        <v>4.3055555555555555E-2</v>
      </c>
      <c r="F87" s="6">
        <v>0</v>
      </c>
      <c r="G87" s="11"/>
      <c r="H87" s="11"/>
      <c r="I87" s="6">
        <v>3</v>
      </c>
    </row>
    <row r="88" spans="1:9" ht="13" x14ac:dyDescent="0.15">
      <c r="A88" s="6" t="s">
        <v>20</v>
      </c>
      <c r="B88" s="4" t="s">
        <v>37</v>
      </c>
      <c r="C88" s="4">
        <v>0</v>
      </c>
      <c r="E88" s="10">
        <v>4.3055555555555555E-2</v>
      </c>
      <c r="F88" s="4">
        <v>1</v>
      </c>
      <c r="I88" s="4">
        <v>3</v>
      </c>
    </row>
    <row r="89" spans="1:9" ht="13" x14ac:dyDescent="0.15">
      <c r="A89" s="6" t="s">
        <v>20</v>
      </c>
      <c r="B89" s="4" t="s">
        <v>18</v>
      </c>
      <c r="C89" s="4">
        <v>0</v>
      </c>
      <c r="E89" s="10">
        <v>4.3055555555555555E-2</v>
      </c>
      <c r="F89" s="4">
        <v>1</v>
      </c>
      <c r="I89" s="4">
        <v>3</v>
      </c>
    </row>
    <row r="90" spans="1:9" ht="13" x14ac:dyDescent="0.15">
      <c r="A90" s="6" t="s">
        <v>20</v>
      </c>
      <c r="B90" s="4" t="s">
        <v>18</v>
      </c>
      <c r="C90" s="4">
        <v>0</v>
      </c>
      <c r="E90" s="10">
        <v>4.3055555555555555E-2</v>
      </c>
      <c r="F90" s="4">
        <v>0</v>
      </c>
      <c r="I90" s="4">
        <v>1</v>
      </c>
    </row>
    <row r="91" spans="1:9" ht="13" x14ac:dyDescent="0.15">
      <c r="A91" s="4" t="s">
        <v>40</v>
      </c>
      <c r="B91" s="4" t="s">
        <v>41</v>
      </c>
      <c r="C91" s="4">
        <v>0</v>
      </c>
      <c r="D91" s="9"/>
      <c r="E91" s="10">
        <v>4.3055555555555555E-2</v>
      </c>
      <c r="F91" s="4">
        <v>0</v>
      </c>
      <c r="G91" s="7"/>
      <c r="H91" s="7"/>
      <c r="I91" s="4"/>
    </row>
    <row r="92" spans="1:9" ht="13" x14ac:dyDescent="0.15">
      <c r="A92" s="4" t="s">
        <v>40</v>
      </c>
      <c r="B92" s="4" t="s">
        <v>48</v>
      </c>
      <c r="C92" s="4">
        <v>0</v>
      </c>
      <c r="E92" s="10">
        <v>4.3055555555555555E-2</v>
      </c>
      <c r="F92" s="4">
        <v>0</v>
      </c>
    </row>
    <row r="93" spans="1:9" ht="13" x14ac:dyDescent="0.15">
      <c r="A93" s="4" t="s">
        <v>40</v>
      </c>
      <c r="B93" s="4" t="s">
        <v>48</v>
      </c>
      <c r="C93" s="4">
        <v>0</v>
      </c>
      <c r="E93" s="10">
        <v>4.3055555555555555E-2</v>
      </c>
      <c r="F93" s="4">
        <v>0</v>
      </c>
    </row>
    <row r="94" spans="1:9" ht="13" x14ac:dyDescent="0.15">
      <c r="A94" s="4" t="s">
        <v>40</v>
      </c>
      <c r="B94" s="4" t="s">
        <v>48</v>
      </c>
      <c r="C94" s="4">
        <v>0</v>
      </c>
      <c r="E94" s="10">
        <v>4.3055555555555555E-2</v>
      </c>
      <c r="F94" s="4">
        <v>0</v>
      </c>
    </row>
    <row r="95" spans="1:9" ht="13" x14ac:dyDescent="0.15">
      <c r="A95" s="4" t="s">
        <v>40</v>
      </c>
      <c r="B95" s="4" t="s">
        <v>48</v>
      </c>
      <c r="C95" s="4">
        <v>0</v>
      </c>
      <c r="E95" s="10">
        <v>4.3055555555555555E-2</v>
      </c>
      <c r="F95" s="4">
        <v>0</v>
      </c>
    </row>
    <row r="96" spans="1:9" ht="13" x14ac:dyDescent="0.15">
      <c r="A96" s="4" t="s">
        <v>40</v>
      </c>
      <c r="B96" s="4" t="s">
        <v>48</v>
      </c>
      <c r="C96" s="4">
        <v>0</v>
      </c>
      <c r="E96" s="10">
        <v>4.3055555555555555E-2</v>
      </c>
      <c r="F96" s="4">
        <v>0</v>
      </c>
    </row>
    <row r="97" spans="1:9" ht="13" x14ac:dyDescent="0.15">
      <c r="A97" s="4" t="s">
        <v>40</v>
      </c>
      <c r="B97" s="4" t="s">
        <v>48</v>
      </c>
      <c r="C97" s="4">
        <v>0</v>
      </c>
      <c r="E97" s="10">
        <v>4.3055555555555555E-2</v>
      </c>
      <c r="F97" s="4">
        <v>0</v>
      </c>
    </row>
    <row r="98" spans="1:9" ht="13" x14ac:dyDescent="0.15">
      <c r="A98" s="4" t="s">
        <v>40</v>
      </c>
      <c r="B98" s="4" t="s">
        <v>23</v>
      </c>
      <c r="E98" s="10">
        <v>4.3055555555555555E-2</v>
      </c>
      <c r="F98" s="4">
        <v>0</v>
      </c>
    </row>
    <row r="99" spans="1:9" ht="13" x14ac:dyDescent="0.15">
      <c r="A99" s="6" t="s">
        <v>20</v>
      </c>
      <c r="B99" s="6" t="s">
        <v>23</v>
      </c>
      <c r="C99" s="8">
        <v>0</v>
      </c>
      <c r="D99" s="9"/>
      <c r="E99" s="10">
        <v>4.3749999999999997E-2</v>
      </c>
      <c r="F99" s="6">
        <v>0</v>
      </c>
      <c r="G99" s="11"/>
      <c r="H99" s="11"/>
      <c r="I99" s="6">
        <v>2</v>
      </c>
    </row>
    <row r="100" spans="1:9" ht="13" x14ac:dyDescent="0.15">
      <c r="A100" s="6" t="s">
        <v>20</v>
      </c>
      <c r="B100" s="6" t="s">
        <v>23</v>
      </c>
      <c r="C100" s="4">
        <v>0</v>
      </c>
      <c r="D100" s="9"/>
      <c r="E100" s="10">
        <v>4.3749999999999997E-2</v>
      </c>
      <c r="F100" s="4">
        <v>0</v>
      </c>
      <c r="I100" s="4">
        <v>2</v>
      </c>
    </row>
    <row r="101" spans="1:9" ht="13" x14ac:dyDescent="0.15">
      <c r="A101" s="6" t="s">
        <v>20</v>
      </c>
      <c r="B101" s="4" t="s">
        <v>18</v>
      </c>
      <c r="C101" s="4">
        <v>0</v>
      </c>
      <c r="E101" s="10">
        <v>4.3749999999999997E-2</v>
      </c>
      <c r="F101" s="4">
        <v>0</v>
      </c>
      <c r="I101" s="4">
        <v>2</v>
      </c>
    </row>
    <row r="102" spans="1:9" ht="13" x14ac:dyDescent="0.15">
      <c r="A102" s="6" t="s">
        <v>20</v>
      </c>
      <c r="B102" s="4" t="s">
        <v>18</v>
      </c>
      <c r="C102" s="4">
        <v>0</v>
      </c>
      <c r="E102" s="10">
        <v>4.3749999999999997E-2</v>
      </c>
      <c r="F102" s="4">
        <v>0</v>
      </c>
      <c r="I102" s="4">
        <v>2</v>
      </c>
    </row>
    <row r="103" spans="1:9" ht="13" x14ac:dyDescent="0.15">
      <c r="A103" s="4" t="s">
        <v>40</v>
      </c>
      <c r="B103" s="4" t="s">
        <v>48</v>
      </c>
      <c r="C103" s="4">
        <v>0</v>
      </c>
      <c r="E103" s="10">
        <v>4.3749999999999997E-2</v>
      </c>
      <c r="F103" s="4">
        <v>0</v>
      </c>
    </row>
    <row r="104" spans="1:9" ht="13" x14ac:dyDescent="0.15">
      <c r="A104" s="4" t="s">
        <v>40</v>
      </c>
      <c r="B104" s="4" t="s">
        <v>48</v>
      </c>
      <c r="C104" s="4">
        <v>0</v>
      </c>
      <c r="E104" s="10">
        <v>4.3749999999999997E-2</v>
      </c>
      <c r="F104" s="4">
        <v>0</v>
      </c>
    </row>
    <row r="105" spans="1:9" ht="13" x14ac:dyDescent="0.15">
      <c r="A105" s="4" t="s">
        <v>40</v>
      </c>
      <c r="B105" s="4" t="s">
        <v>48</v>
      </c>
      <c r="C105" s="4">
        <v>0</v>
      </c>
      <c r="E105" s="10">
        <v>4.3749999999999997E-2</v>
      </c>
      <c r="F105" s="4">
        <v>0</v>
      </c>
    </row>
    <row r="106" spans="1:9" ht="13" x14ac:dyDescent="0.15">
      <c r="A106" s="4" t="s">
        <v>40</v>
      </c>
      <c r="B106" s="4" t="s">
        <v>48</v>
      </c>
      <c r="C106" s="4">
        <v>0</v>
      </c>
      <c r="E106" s="10">
        <v>4.3749999999999997E-2</v>
      </c>
      <c r="F106" s="4">
        <v>0</v>
      </c>
    </row>
    <row r="107" spans="1:9" ht="13" x14ac:dyDescent="0.15">
      <c r="A107" s="4" t="s">
        <v>40</v>
      </c>
      <c r="B107" s="4" t="s">
        <v>48</v>
      </c>
      <c r="C107" s="4">
        <v>0</v>
      </c>
      <c r="E107" s="10">
        <v>4.3749999999999997E-2</v>
      </c>
      <c r="F107" s="4">
        <v>0</v>
      </c>
    </row>
    <row r="108" spans="1:9" ht="13" x14ac:dyDescent="0.15">
      <c r="A108" s="4" t="s">
        <v>40</v>
      </c>
      <c r="B108" s="4" t="s">
        <v>48</v>
      </c>
      <c r="C108" s="4">
        <v>0</v>
      </c>
      <c r="E108" s="10">
        <v>4.3749999999999997E-2</v>
      </c>
      <c r="F108" s="4">
        <v>0</v>
      </c>
    </row>
    <row r="109" spans="1:9" ht="13" x14ac:dyDescent="0.15">
      <c r="A109" s="4" t="s">
        <v>40</v>
      </c>
      <c r="B109" s="4" t="s">
        <v>48</v>
      </c>
      <c r="C109" s="4">
        <v>0</v>
      </c>
      <c r="E109" s="10">
        <v>4.3749999999999997E-2</v>
      </c>
      <c r="F109" s="4">
        <v>0</v>
      </c>
    </row>
    <row r="110" spans="1:9" ht="13" x14ac:dyDescent="0.15">
      <c r="A110" s="4" t="s">
        <v>40</v>
      </c>
      <c r="B110" s="4" t="s">
        <v>23</v>
      </c>
      <c r="E110" s="10">
        <v>4.3749999999999997E-2</v>
      </c>
      <c r="F110" s="4">
        <v>0</v>
      </c>
    </row>
    <row r="111" spans="1:9" ht="13" x14ac:dyDescent="0.15">
      <c r="A111" s="6" t="s">
        <v>20</v>
      </c>
      <c r="B111" s="6" t="s">
        <v>23</v>
      </c>
      <c r="C111" s="8">
        <v>0</v>
      </c>
      <c r="D111" s="9"/>
      <c r="E111" s="10">
        <v>4.4444444444444446E-2</v>
      </c>
      <c r="F111" s="6">
        <v>0</v>
      </c>
      <c r="G111" s="11"/>
      <c r="H111" s="11"/>
      <c r="I111" s="6">
        <v>1</v>
      </c>
    </row>
    <row r="112" spans="1:9" ht="13" x14ac:dyDescent="0.15">
      <c r="A112" s="25" t="s">
        <v>40</v>
      </c>
      <c r="B112" s="25" t="s">
        <v>48</v>
      </c>
      <c r="C112" s="25">
        <v>0</v>
      </c>
      <c r="D112" s="25"/>
      <c r="E112" s="30">
        <v>4.4444444444444446E-2</v>
      </c>
      <c r="F112" s="25">
        <v>0</v>
      </c>
      <c r="G112" s="25"/>
      <c r="H112" s="25"/>
      <c r="I112" s="25"/>
    </row>
    <row r="113" spans="1:9" ht="13" x14ac:dyDescent="0.15">
      <c r="A113" s="4" t="s">
        <v>40</v>
      </c>
      <c r="B113" s="4" t="s">
        <v>48</v>
      </c>
      <c r="C113" s="4">
        <v>0</v>
      </c>
      <c r="E113" s="10">
        <v>4.4444444444444446E-2</v>
      </c>
      <c r="F113" s="4">
        <v>0</v>
      </c>
    </row>
    <row r="114" spans="1:9" ht="13" x14ac:dyDescent="0.15">
      <c r="A114" s="4" t="s">
        <v>40</v>
      </c>
      <c r="B114" s="4" t="s">
        <v>48</v>
      </c>
      <c r="C114" s="4">
        <v>0</v>
      </c>
      <c r="E114" s="10">
        <v>4.4444444444444446E-2</v>
      </c>
      <c r="F114" s="4">
        <v>0</v>
      </c>
    </row>
    <row r="115" spans="1:9" ht="13" x14ac:dyDescent="0.15">
      <c r="A115" s="4" t="s">
        <v>40</v>
      </c>
      <c r="B115" s="4" t="s">
        <v>48</v>
      </c>
      <c r="C115" s="4">
        <v>0</v>
      </c>
      <c r="E115" s="10">
        <v>4.4444444444444446E-2</v>
      </c>
      <c r="F115" s="4">
        <v>0</v>
      </c>
    </row>
    <row r="116" spans="1:9" ht="13" x14ac:dyDescent="0.15">
      <c r="A116" s="4" t="s">
        <v>40</v>
      </c>
      <c r="B116" s="4" t="s">
        <v>48</v>
      </c>
      <c r="C116" s="4">
        <v>0</v>
      </c>
      <c r="E116" s="10">
        <v>4.4444444444444446E-2</v>
      </c>
      <c r="F116" s="4">
        <v>0</v>
      </c>
    </row>
    <row r="117" spans="1:9" ht="13" x14ac:dyDescent="0.15">
      <c r="A117" s="6" t="s">
        <v>20</v>
      </c>
      <c r="B117" s="6" t="s">
        <v>23</v>
      </c>
      <c r="C117" s="8">
        <v>0</v>
      </c>
      <c r="D117" s="9"/>
      <c r="E117" s="10">
        <v>8.3333333333333329E-2</v>
      </c>
      <c r="F117" s="6">
        <v>1</v>
      </c>
      <c r="G117" s="11"/>
      <c r="H117" s="11"/>
      <c r="I117" s="6">
        <v>1</v>
      </c>
    </row>
    <row r="118" spans="1:9" ht="13" x14ac:dyDescent="0.15">
      <c r="A118" s="6" t="s">
        <v>20</v>
      </c>
      <c r="B118" s="6" t="s">
        <v>23</v>
      </c>
      <c r="C118" s="4">
        <v>0</v>
      </c>
      <c r="D118" s="9"/>
      <c r="E118" s="10">
        <v>8.3333333333333329E-2</v>
      </c>
      <c r="F118" s="4">
        <v>1</v>
      </c>
      <c r="I118" s="4">
        <v>2</v>
      </c>
    </row>
    <row r="119" spans="1:9" ht="13" x14ac:dyDescent="0.15">
      <c r="A119" s="6" t="s">
        <v>20</v>
      </c>
      <c r="B119" s="4" t="s">
        <v>18</v>
      </c>
      <c r="C119" s="4">
        <v>0</v>
      </c>
      <c r="E119" s="10">
        <v>8.3333333333333329E-2</v>
      </c>
      <c r="F119" s="4">
        <v>1</v>
      </c>
      <c r="I119" s="4">
        <v>2</v>
      </c>
    </row>
    <row r="120" spans="1:9" ht="13" x14ac:dyDescent="0.15">
      <c r="A120" s="4" t="s">
        <v>40</v>
      </c>
      <c r="B120" s="4" t="s">
        <v>41</v>
      </c>
      <c r="C120" s="4">
        <v>0</v>
      </c>
      <c r="D120" s="9"/>
      <c r="E120" s="10">
        <v>8.3333333333333329E-2</v>
      </c>
      <c r="F120" s="4">
        <v>1</v>
      </c>
      <c r="G120" s="7"/>
      <c r="H120" s="7"/>
      <c r="I120" s="4"/>
    </row>
    <row r="121" spans="1:9" ht="13" x14ac:dyDescent="0.15">
      <c r="A121" s="4" t="s">
        <v>40</v>
      </c>
      <c r="B121" s="4" t="s">
        <v>41</v>
      </c>
      <c r="C121" s="4"/>
      <c r="D121" s="9"/>
      <c r="E121" s="10">
        <v>8.3333333333333329E-2</v>
      </c>
      <c r="F121" s="4">
        <v>1</v>
      </c>
      <c r="G121" s="7"/>
      <c r="H121" s="7"/>
      <c r="I121" s="4"/>
    </row>
    <row r="122" spans="1:9" ht="13" x14ac:dyDescent="0.15">
      <c r="A122" s="4" t="s">
        <v>40</v>
      </c>
      <c r="B122" s="4" t="s">
        <v>41</v>
      </c>
      <c r="E122" s="10">
        <v>8.3333333333333329E-2</v>
      </c>
      <c r="F122" s="4">
        <v>1</v>
      </c>
    </row>
    <row r="123" spans="1:9" ht="13" x14ac:dyDescent="0.15">
      <c r="A123" s="4" t="s">
        <v>40</v>
      </c>
      <c r="B123" s="4" t="s">
        <v>41</v>
      </c>
      <c r="E123" s="10">
        <v>8.3333333333333329E-2</v>
      </c>
      <c r="F123" s="4">
        <v>1</v>
      </c>
    </row>
    <row r="124" spans="1:9" ht="13" x14ac:dyDescent="0.15">
      <c r="A124" s="4" t="s">
        <v>40</v>
      </c>
      <c r="B124" s="4" t="s">
        <v>48</v>
      </c>
      <c r="C124" s="4">
        <v>0</v>
      </c>
      <c r="E124" s="10">
        <v>8.3333333333333329E-2</v>
      </c>
      <c r="F124" s="4">
        <v>1</v>
      </c>
    </row>
    <row r="125" spans="1:9" ht="13" x14ac:dyDescent="0.15">
      <c r="A125" s="29" t="s">
        <v>40</v>
      </c>
      <c r="B125" s="29" t="s">
        <v>48</v>
      </c>
      <c r="C125" s="29">
        <v>0</v>
      </c>
      <c r="D125" s="29"/>
      <c r="E125" s="34">
        <v>8.3333333333333329E-2</v>
      </c>
      <c r="F125" s="29">
        <v>1</v>
      </c>
      <c r="G125" s="29"/>
      <c r="H125" s="29"/>
      <c r="I125" s="29"/>
    </row>
    <row r="126" spans="1:9" ht="13" x14ac:dyDescent="0.15">
      <c r="A126" s="4" t="s">
        <v>40</v>
      </c>
      <c r="B126" s="4" t="s">
        <v>48</v>
      </c>
      <c r="C126" s="4">
        <v>0</v>
      </c>
      <c r="E126" s="10">
        <v>8.3333333333333329E-2</v>
      </c>
      <c r="F126" s="4">
        <v>1</v>
      </c>
    </row>
    <row r="127" spans="1:9" ht="13" x14ac:dyDescent="0.15">
      <c r="A127" s="4" t="s">
        <v>40</v>
      </c>
      <c r="B127" s="4" t="s">
        <v>48</v>
      </c>
      <c r="C127" s="4">
        <v>0</v>
      </c>
      <c r="E127" s="10">
        <v>8.3333333333333329E-2</v>
      </c>
      <c r="F127" s="4">
        <v>1</v>
      </c>
    </row>
    <row r="128" spans="1:9" ht="13" x14ac:dyDescent="0.15">
      <c r="A128" s="4" t="s">
        <v>40</v>
      </c>
      <c r="B128" s="4" t="s">
        <v>48</v>
      </c>
      <c r="C128" s="4">
        <v>0</v>
      </c>
      <c r="E128" s="10">
        <v>8.3333333333333329E-2</v>
      </c>
      <c r="F128" s="4">
        <v>1</v>
      </c>
    </row>
    <row r="129" spans="1:9" ht="13" x14ac:dyDescent="0.15">
      <c r="A129" s="4" t="s">
        <v>40</v>
      </c>
      <c r="B129" s="4" t="s">
        <v>48</v>
      </c>
      <c r="C129" s="4">
        <v>0</v>
      </c>
      <c r="E129" s="10">
        <v>8.3333333333333329E-2</v>
      </c>
      <c r="F129" s="4">
        <v>1</v>
      </c>
    </row>
    <row r="130" spans="1:9" ht="14" x14ac:dyDescent="0.15">
      <c r="A130" s="4" t="s">
        <v>40</v>
      </c>
      <c r="B130" s="4" t="s">
        <v>37</v>
      </c>
      <c r="C130" s="4">
        <v>0</v>
      </c>
      <c r="D130" s="9">
        <v>45877</v>
      </c>
      <c r="E130" s="10">
        <v>8.3333333333333329E-2</v>
      </c>
      <c r="F130" s="4">
        <v>1</v>
      </c>
      <c r="H130" s="11" t="s">
        <v>39</v>
      </c>
    </row>
    <row r="131" spans="1:9" ht="13" x14ac:dyDescent="0.15">
      <c r="A131" s="4" t="s">
        <v>40</v>
      </c>
      <c r="B131" s="4" t="s">
        <v>23</v>
      </c>
      <c r="E131" s="10">
        <v>8.3333333333333329E-2</v>
      </c>
      <c r="F131" s="4">
        <v>1</v>
      </c>
    </row>
    <row r="132" spans="1:9" ht="13" x14ac:dyDescent="0.15">
      <c r="A132" s="6" t="s">
        <v>20</v>
      </c>
      <c r="B132" s="6" t="s">
        <v>23</v>
      </c>
      <c r="C132" s="4">
        <v>0</v>
      </c>
      <c r="D132" s="9"/>
      <c r="E132" s="10">
        <v>8.4027777777777785E-2</v>
      </c>
      <c r="F132" s="4">
        <v>0</v>
      </c>
      <c r="I132" s="4">
        <v>3</v>
      </c>
    </row>
    <row r="133" spans="1:9" ht="13" x14ac:dyDescent="0.15">
      <c r="A133" s="6" t="s">
        <v>20</v>
      </c>
      <c r="B133" s="4" t="s">
        <v>37</v>
      </c>
      <c r="C133" s="4">
        <v>0</v>
      </c>
      <c r="E133" s="10">
        <v>8.4027777777777785E-2</v>
      </c>
      <c r="F133" s="4">
        <v>1</v>
      </c>
      <c r="I133" s="4">
        <v>3</v>
      </c>
    </row>
    <row r="134" spans="1:9" ht="13" x14ac:dyDescent="0.15">
      <c r="A134" s="6" t="s">
        <v>20</v>
      </c>
      <c r="B134" s="4" t="s">
        <v>18</v>
      </c>
      <c r="C134" s="4">
        <v>0</v>
      </c>
      <c r="E134" s="10">
        <v>8.4027777777777785E-2</v>
      </c>
      <c r="F134" s="4">
        <v>0</v>
      </c>
      <c r="I134" s="4">
        <v>3</v>
      </c>
    </row>
    <row r="135" spans="1:9" ht="13" x14ac:dyDescent="0.15">
      <c r="A135" s="4" t="s">
        <v>40</v>
      </c>
      <c r="B135" s="4" t="s">
        <v>48</v>
      </c>
      <c r="C135" s="4">
        <v>0</v>
      </c>
      <c r="E135" s="10">
        <v>8.4027777777777785E-2</v>
      </c>
      <c r="F135" s="4">
        <v>0</v>
      </c>
    </row>
    <row r="136" spans="1:9" ht="13" x14ac:dyDescent="0.15">
      <c r="A136" s="4" t="s">
        <v>40</v>
      </c>
      <c r="B136" s="4" t="s">
        <v>48</v>
      </c>
      <c r="C136" s="4">
        <v>0</v>
      </c>
      <c r="E136" s="10">
        <v>8.4027777777777785E-2</v>
      </c>
      <c r="F136" s="4">
        <v>0</v>
      </c>
    </row>
    <row r="137" spans="1:9" ht="13" x14ac:dyDescent="0.15">
      <c r="A137" s="4" t="s">
        <v>40</v>
      </c>
      <c r="B137" s="4" t="s">
        <v>48</v>
      </c>
      <c r="C137" s="4">
        <v>0</v>
      </c>
      <c r="E137" s="10">
        <v>8.4027777777777785E-2</v>
      </c>
      <c r="F137" s="4">
        <v>0</v>
      </c>
    </row>
    <row r="138" spans="1:9" ht="13" x14ac:dyDescent="0.15">
      <c r="A138" s="4" t="s">
        <v>40</v>
      </c>
      <c r="B138" s="4" t="s">
        <v>48</v>
      </c>
      <c r="C138" s="4">
        <v>0</v>
      </c>
      <c r="E138" s="10">
        <v>8.4027777777777785E-2</v>
      </c>
      <c r="F138" s="4">
        <v>0</v>
      </c>
    </row>
    <row r="139" spans="1:9" ht="13" x14ac:dyDescent="0.15">
      <c r="A139" s="4" t="s">
        <v>40</v>
      </c>
      <c r="B139" s="4" t="s">
        <v>48</v>
      </c>
      <c r="C139" s="4">
        <v>0</v>
      </c>
      <c r="E139" s="10">
        <v>8.4027777777777785E-2</v>
      </c>
      <c r="F139" s="4">
        <v>0</v>
      </c>
    </row>
    <row r="140" spans="1:9" ht="13" x14ac:dyDescent="0.15">
      <c r="A140" s="4" t="s">
        <v>40</v>
      </c>
      <c r="B140" s="4" t="s">
        <v>48</v>
      </c>
      <c r="C140" s="4">
        <v>0</v>
      </c>
      <c r="E140" s="10">
        <v>8.4027777777777785E-2</v>
      </c>
      <c r="F140" s="4">
        <v>0</v>
      </c>
    </row>
    <row r="141" spans="1:9" ht="13" x14ac:dyDescent="0.15">
      <c r="A141" s="6" t="s">
        <v>20</v>
      </c>
      <c r="B141" s="6" t="s">
        <v>23</v>
      </c>
      <c r="C141" s="4">
        <v>0</v>
      </c>
      <c r="D141" s="9"/>
      <c r="E141" s="10">
        <v>8.4722222222222227E-2</v>
      </c>
      <c r="F141" s="4">
        <v>0</v>
      </c>
      <c r="I141" s="4">
        <v>3</v>
      </c>
    </row>
    <row r="142" spans="1:9" ht="13" x14ac:dyDescent="0.15">
      <c r="A142" s="6" t="s">
        <v>20</v>
      </c>
      <c r="B142" s="4" t="s">
        <v>37</v>
      </c>
      <c r="C142" s="4">
        <v>0</v>
      </c>
      <c r="E142" s="10">
        <v>8.4722222222222227E-2</v>
      </c>
      <c r="F142" s="4">
        <v>0</v>
      </c>
      <c r="I142" s="4">
        <v>3</v>
      </c>
    </row>
    <row r="143" spans="1:9" ht="13" x14ac:dyDescent="0.15">
      <c r="A143" s="6" t="s">
        <v>20</v>
      </c>
      <c r="B143" s="4" t="s">
        <v>18</v>
      </c>
      <c r="C143" s="4">
        <v>0</v>
      </c>
      <c r="E143" s="10">
        <v>8.4722222222222227E-2</v>
      </c>
      <c r="F143" s="4">
        <v>0</v>
      </c>
      <c r="I143" s="4">
        <v>3</v>
      </c>
    </row>
    <row r="144" spans="1:9" ht="13" x14ac:dyDescent="0.15">
      <c r="A144" s="4" t="s">
        <v>40</v>
      </c>
      <c r="B144" s="4" t="s">
        <v>48</v>
      </c>
      <c r="C144" s="4">
        <v>0</v>
      </c>
      <c r="E144" s="10">
        <v>8.4722222222222227E-2</v>
      </c>
      <c r="F144" s="4">
        <v>0</v>
      </c>
    </row>
    <row r="145" spans="1:9" ht="13" x14ac:dyDescent="0.15">
      <c r="A145" s="4" t="s">
        <v>40</v>
      </c>
      <c r="B145" s="4" t="s">
        <v>48</v>
      </c>
      <c r="C145" s="4">
        <v>0</v>
      </c>
      <c r="E145" s="10">
        <v>8.4722222222222227E-2</v>
      </c>
      <c r="F145" s="4">
        <v>0</v>
      </c>
    </row>
    <row r="146" spans="1:9" ht="13" x14ac:dyDescent="0.15">
      <c r="A146" s="4" t="s">
        <v>40</v>
      </c>
      <c r="B146" s="4" t="s">
        <v>48</v>
      </c>
      <c r="C146" s="4">
        <v>0</v>
      </c>
      <c r="E146" s="10">
        <v>8.4722222222222227E-2</v>
      </c>
      <c r="F146" s="4">
        <v>0</v>
      </c>
    </row>
    <row r="147" spans="1:9" ht="13" x14ac:dyDescent="0.15">
      <c r="A147" s="4" t="s">
        <v>40</v>
      </c>
      <c r="B147" s="4" t="s">
        <v>48</v>
      </c>
      <c r="C147" s="4">
        <v>0</v>
      </c>
      <c r="E147" s="10">
        <v>8.4722222222222227E-2</v>
      </c>
      <c r="F147" s="4">
        <v>0</v>
      </c>
    </row>
    <row r="148" spans="1:9" ht="13" x14ac:dyDescent="0.15">
      <c r="A148" s="4" t="s">
        <v>40</v>
      </c>
      <c r="B148" s="4" t="s">
        <v>48</v>
      </c>
      <c r="C148" s="4">
        <v>0</v>
      </c>
      <c r="E148" s="10">
        <v>8.4722222222222227E-2</v>
      </c>
      <c r="F148" s="4">
        <v>0</v>
      </c>
    </row>
    <row r="149" spans="1:9" ht="13" x14ac:dyDescent="0.15">
      <c r="A149" s="4" t="s">
        <v>40</v>
      </c>
      <c r="B149" s="4" t="s">
        <v>48</v>
      </c>
      <c r="C149" s="4">
        <v>0</v>
      </c>
      <c r="E149" s="10">
        <v>8.4722222222222227E-2</v>
      </c>
      <c r="F149" s="4">
        <v>0</v>
      </c>
    </row>
    <row r="150" spans="1:9" ht="13" x14ac:dyDescent="0.15">
      <c r="A150" s="4" t="s">
        <v>40</v>
      </c>
      <c r="B150" s="4" t="s">
        <v>48</v>
      </c>
      <c r="C150" s="4">
        <v>0</v>
      </c>
      <c r="E150" s="10">
        <v>8.5416666666666669E-2</v>
      </c>
      <c r="F150" s="4">
        <v>0</v>
      </c>
    </row>
    <row r="151" spans="1:9" ht="13" x14ac:dyDescent="0.15">
      <c r="A151" s="4" t="s">
        <v>40</v>
      </c>
      <c r="B151" s="4" t="s">
        <v>48</v>
      </c>
      <c r="C151" s="4">
        <v>0</v>
      </c>
      <c r="E151" s="10">
        <v>8.5416666666666669E-2</v>
      </c>
      <c r="F151" s="4">
        <v>0</v>
      </c>
    </row>
    <row r="152" spans="1:9" ht="13" x14ac:dyDescent="0.15">
      <c r="A152" s="4" t="s">
        <v>40</v>
      </c>
      <c r="B152" s="4" t="s">
        <v>48</v>
      </c>
      <c r="C152" s="4">
        <v>0</v>
      </c>
      <c r="E152" s="10">
        <v>8.5416666666666669E-2</v>
      </c>
      <c r="F152" s="4">
        <v>0</v>
      </c>
    </row>
    <row r="153" spans="1:9" ht="13" x14ac:dyDescent="0.15">
      <c r="A153" s="25" t="s">
        <v>40</v>
      </c>
      <c r="B153" s="25" t="s">
        <v>48</v>
      </c>
      <c r="C153" s="25">
        <v>0</v>
      </c>
      <c r="D153" s="25"/>
      <c r="E153" s="30">
        <v>8.5416666666666669E-2</v>
      </c>
      <c r="F153" s="25">
        <v>0</v>
      </c>
      <c r="G153" s="25"/>
      <c r="H153" s="25"/>
      <c r="I153" s="25"/>
    </row>
    <row r="154" spans="1:9" ht="13" x14ac:dyDescent="0.15">
      <c r="A154" s="4" t="s">
        <v>40</v>
      </c>
      <c r="B154" s="4" t="s">
        <v>48</v>
      </c>
      <c r="C154" s="4">
        <v>0</v>
      </c>
      <c r="E154" s="10">
        <v>8.5416666666666669E-2</v>
      </c>
      <c r="F154" s="4">
        <v>0</v>
      </c>
    </row>
    <row r="155" spans="1:9" ht="13" x14ac:dyDescent="0.15">
      <c r="A155" s="4" t="s">
        <v>40</v>
      </c>
      <c r="B155" s="4" t="s">
        <v>48</v>
      </c>
      <c r="C155" s="4">
        <v>0</v>
      </c>
      <c r="E155" s="10">
        <v>8.5416666666666669E-2</v>
      </c>
      <c r="F155" s="4">
        <v>0</v>
      </c>
    </row>
    <row r="156" spans="1:9" ht="13" x14ac:dyDescent="0.15">
      <c r="A156" s="4" t="s">
        <v>40</v>
      </c>
      <c r="B156" s="4" t="s">
        <v>48</v>
      </c>
      <c r="C156" s="4">
        <v>0</v>
      </c>
      <c r="E156" s="10">
        <v>8.611111111111111E-2</v>
      </c>
      <c r="F156" s="4">
        <v>0</v>
      </c>
    </row>
    <row r="157" spans="1:9" ht="13" x14ac:dyDescent="0.15">
      <c r="A157" s="4" t="s">
        <v>40</v>
      </c>
      <c r="B157" s="4" t="s">
        <v>48</v>
      </c>
      <c r="C157" s="4">
        <v>0</v>
      </c>
      <c r="E157" s="10">
        <v>8.611111111111111E-2</v>
      </c>
      <c r="F157" s="4">
        <v>0</v>
      </c>
    </row>
    <row r="158" spans="1:9" ht="13" x14ac:dyDescent="0.15">
      <c r="A158" s="4" t="s">
        <v>40</v>
      </c>
      <c r="B158" s="4" t="s">
        <v>48</v>
      </c>
      <c r="C158" s="4">
        <v>0</v>
      </c>
      <c r="E158" s="10">
        <v>8.611111111111111E-2</v>
      </c>
      <c r="F158" s="4">
        <v>0</v>
      </c>
    </row>
    <row r="159" spans="1:9" ht="13" x14ac:dyDescent="0.15">
      <c r="A159" s="4" t="s">
        <v>40</v>
      </c>
      <c r="B159" s="4" t="s">
        <v>48</v>
      </c>
      <c r="C159" s="4">
        <v>0</v>
      </c>
      <c r="E159" s="10">
        <v>8.611111111111111E-2</v>
      </c>
      <c r="F159" s="4">
        <v>0</v>
      </c>
    </row>
    <row r="160" spans="1:9" ht="13" x14ac:dyDescent="0.15">
      <c r="A160" s="4" t="s">
        <v>40</v>
      </c>
      <c r="B160" s="4" t="s">
        <v>48</v>
      </c>
      <c r="C160" s="4">
        <v>0</v>
      </c>
      <c r="E160" s="10">
        <v>8.611111111111111E-2</v>
      </c>
      <c r="F160" s="4">
        <v>0</v>
      </c>
    </row>
    <row r="161" spans="1:9" ht="13" x14ac:dyDescent="0.15">
      <c r="A161" s="4" t="s">
        <v>40</v>
      </c>
      <c r="B161" s="4" t="s">
        <v>48</v>
      </c>
      <c r="C161" s="4">
        <v>0</v>
      </c>
      <c r="E161" s="10">
        <v>8.611111111111111E-2</v>
      </c>
      <c r="F161" s="4">
        <v>0</v>
      </c>
    </row>
    <row r="162" spans="1:9" ht="13" x14ac:dyDescent="0.15">
      <c r="A162" s="6" t="s">
        <v>20</v>
      </c>
      <c r="B162" s="6" t="s">
        <v>23</v>
      </c>
      <c r="C162" s="8">
        <v>0</v>
      </c>
      <c r="D162" s="9"/>
      <c r="E162" s="10">
        <v>0.125</v>
      </c>
      <c r="F162" s="6">
        <v>1</v>
      </c>
      <c r="G162" s="11"/>
      <c r="H162" s="11"/>
      <c r="I162" s="6">
        <v>1</v>
      </c>
    </row>
    <row r="163" spans="1:9" ht="13" x14ac:dyDescent="0.15">
      <c r="A163" s="6" t="s">
        <v>20</v>
      </c>
      <c r="B163" s="6" t="s">
        <v>23</v>
      </c>
      <c r="C163" s="4">
        <v>0</v>
      </c>
      <c r="D163" s="9"/>
      <c r="E163" s="10">
        <v>0.125</v>
      </c>
      <c r="F163" s="4">
        <v>1</v>
      </c>
      <c r="I163" s="4">
        <v>1</v>
      </c>
    </row>
    <row r="164" spans="1:9" ht="13" x14ac:dyDescent="0.15">
      <c r="A164" s="4" t="s">
        <v>40</v>
      </c>
      <c r="B164" s="4" t="s">
        <v>41</v>
      </c>
      <c r="C164" s="4">
        <v>0</v>
      </c>
      <c r="D164" s="9"/>
      <c r="E164" s="10">
        <v>0.125</v>
      </c>
      <c r="F164" s="4">
        <v>1</v>
      </c>
      <c r="G164" s="7"/>
      <c r="H164" s="7"/>
      <c r="I164" s="4"/>
    </row>
    <row r="165" spans="1:9" ht="13" x14ac:dyDescent="0.15">
      <c r="A165" s="4" t="s">
        <v>40</v>
      </c>
      <c r="B165" s="4" t="s">
        <v>48</v>
      </c>
      <c r="C165" s="4">
        <v>0</v>
      </c>
      <c r="E165" s="10">
        <v>0.125</v>
      </c>
      <c r="F165" s="4">
        <v>1</v>
      </c>
    </row>
    <row r="166" spans="1:9" ht="13" x14ac:dyDescent="0.15">
      <c r="A166" s="4" t="s">
        <v>40</v>
      </c>
      <c r="B166" s="4" t="s">
        <v>48</v>
      </c>
      <c r="C166" s="4">
        <v>0</v>
      </c>
      <c r="E166" s="10">
        <v>0.125</v>
      </c>
      <c r="F166" s="4">
        <v>1</v>
      </c>
    </row>
    <row r="167" spans="1:9" ht="13" x14ac:dyDescent="0.15">
      <c r="A167" s="4" t="s">
        <v>40</v>
      </c>
      <c r="B167" s="4" t="s">
        <v>48</v>
      </c>
      <c r="C167" s="4">
        <v>0</v>
      </c>
      <c r="E167" s="10">
        <v>0.125</v>
      </c>
      <c r="F167" s="4">
        <v>1</v>
      </c>
    </row>
    <row r="168" spans="1:9" ht="13" x14ac:dyDescent="0.15">
      <c r="A168" s="4" t="s">
        <v>40</v>
      </c>
      <c r="B168" s="4" t="s">
        <v>48</v>
      </c>
      <c r="C168" s="4">
        <v>0</v>
      </c>
      <c r="E168" s="10">
        <v>0.125</v>
      </c>
      <c r="F168" s="4">
        <v>1</v>
      </c>
    </row>
    <row r="169" spans="1:9" ht="13" x14ac:dyDescent="0.15">
      <c r="A169" s="4" t="s">
        <v>40</v>
      </c>
      <c r="B169" s="4" t="s">
        <v>48</v>
      </c>
      <c r="C169" s="4">
        <v>0</v>
      </c>
      <c r="E169" s="10">
        <v>0.125</v>
      </c>
      <c r="F169" s="4">
        <v>1</v>
      </c>
    </row>
    <row r="170" spans="1:9" ht="13" x14ac:dyDescent="0.15">
      <c r="A170" s="4" t="s">
        <v>40</v>
      </c>
      <c r="B170" s="4" t="s">
        <v>48</v>
      </c>
      <c r="C170" s="4">
        <v>0</v>
      </c>
      <c r="E170" s="10">
        <v>0.125</v>
      </c>
      <c r="F170" s="4">
        <v>1</v>
      </c>
    </row>
    <row r="171" spans="1:9" ht="13" x14ac:dyDescent="0.15">
      <c r="A171" s="4" t="s">
        <v>40</v>
      </c>
      <c r="B171" s="4" t="s">
        <v>48</v>
      </c>
      <c r="C171" s="4">
        <v>0</v>
      </c>
      <c r="E171" s="10">
        <v>0.125</v>
      </c>
      <c r="F171" s="4">
        <v>1</v>
      </c>
    </row>
    <row r="172" spans="1:9" ht="13" x14ac:dyDescent="0.15">
      <c r="A172" s="4" t="s">
        <v>40</v>
      </c>
      <c r="B172" s="4" t="s">
        <v>48</v>
      </c>
      <c r="C172" s="4">
        <v>0</v>
      </c>
      <c r="E172" s="10">
        <v>0.12569444444444444</v>
      </c>
      <c r="F172" s="4">
        <v>0</v>
      </c>
    </row>
    <row r="173" spans="1:9" ht="13" x14ac:dyDescent="0.15">
      <c r="A173" s="4" t="s">
        <v>40</v>
      </c>
      <c r="B173" s="4" t="s">
        <v>48</v>
      </c>
      <c r="C173" s="4">
        <v>0</v>
      </c>
      <c r="E173" s="10">
        <v>0.12569444444444444</v>
      </c>
      <c r="F173" s="4">
        <v>0</v>
      </c>
    </row>
    <row r="174" spans="1:9" ht="13" x14ac:dyDescent="0.15">
      <c r="A174" s="4" t="s">
        <v>40</v>
      </c>
      <c r="B174" s="4" t="s">
        <v>48</v>
      </c>
      <c r="C174" s="4">
        <v>0</v>
      </c>
      <c r="E174" s="10">
        <v>0.12569444444444444</v>
      </c>
      <c r="F174" s="4">
        <v>0</v>
      </c>
    </row>
    <row r="175" spans="1:9" ht="13" x14ac:dyDescent="0.15">
      <c r="A175" s="4" t="s">
        <v>40</v>
      </c>
      <c r="B175" s="4" t="s">
        <v>48</v>
      </c>
      <c r="C175" s="4">
        <v>0</v>
      </c>
      <c r="E175" s="10">
        <v>0.12569444444444444</v>
      </c>
      <c r="F175" s="4">
        <v>0</v>
      </c>
    </row>
    <row r="176" spans="1:9" ht="13" x14ac:dyDescent="0.15">
      <c r="A176" s="4" t="s">
        <v>40</v>
      </c>
      <c r="B176" s="4" t="s">
        <v>48</v>
      </c>
      <c r="C176" s="4">
        <v>0</v>
      </c>
      <c r="E176" s="10">
        <v>0.12569444444444444</v>
      </c>
      <c r="F176" s="4">
        <v>0</v>
      </c>
    </row>
    <row r="177" spans="1:9" ht="13" x14ac:dyDescent="0.15">
      <c r="A177" s="4" t="s">
        <v>40</v>
      </c>
      <c r="B177" s="4" t="s">
        <v>48</v>
      </c>
      <c r="C177" s="4">
        <v>0</v>
      </c>
      <c r="E177" s="10">
        <v>0.12569444444444444</v>
      </c>
      <c r="F177" s="4">
        <v>0</v>
      </c>
    </row>
    <row r="178" spans="1:9" ht="13" x14ac:dyDescent="0.15">
      <c r="A178" s="4" t="s">
        <v>40</v>
      </c>
      <c r="B178" s="4" t="s">
        <v>48</v>
      </c>
      <c r="C178" s="4">
        <v>0</v>
      </c>
      <c r="E178" s="10">
        <v>0.12569444444444444</v>
      </c>
      <c r="F178" s="4">
        <v>0</v>
      </c>
    </row>
    <row r="179" spans="1:9" ht="13" x14ac:dyDescent="0.15">
      <c r="A179" s="25" t="s">
        <v>40</v>
      </c>
      <c r="B179" s="25" t="s">
        <v>41</v>
      </c>
      <c r="C179" s="25">
        <v>0</v>
      </c>
      <c r="D179" s="35"/>
      <c r="E179" s="30">
        <v>0.12638888888888888</v>
      </c>
      <c r="F179" s="25">
        <v>0</v>
      </c>
      <c r="G179" s="36"/>
      <c r="H179" s="36"/>
      <c r="I179" s="25"/>
    </row>
    <row r="180" spans="1:9" ht="13" x14ac:dyDescent="0.15">
      <c r="A180" s="4" t="s">
        <v>40</v>
      </c>
      <c r="B180" s="4" t="s">
        <v>41</v>
      </c>
      <c r="E180" s="10">
        <v>0.12638888888888888</v>
      </c>
      <c r="F180" s="4">
        <v>0</v>
      </c>
    </row>
    <row r="181" spans="1:9" ht="13" x14ac:dyDescent="0.15">
      <c r="A181" s="4" t="s">
        <v>40</v>
      </c>
      <c r="B181" s="4" t="s">
        <v>41</v>
      </c>
      <c r="E181" s="10">
        <v>0.12638888888888888</v>
      </c>
      <c r="F181" s="4">
        <v>0</v>
      </c>
    </row>
    <row r="182" spans="1:9" ht="13" x14ac:dyDescent="0.15">
      <c r="A182" s="4" t="s">
        <v>40</v>
      </c>
      <c r="B182" s="4" t="s">
        <v>48</v>
      </c>
      <c r="C182" s="4">
        <v>0</v>
      </c>
      <c r="E182" s="10">
        <v>0.12638888888888888</v>
      </c>
      <c r="F182" s="4">
        <v>0</v>
      </c>
    </row>
    <row r="183" spans="1:9" ht="13" x14ac:dyDescent="0.15">
      <c r="A183" s="4" t="s">
        <v>40</v>
      </c>
      <c r="B183" s="4" t="s">
        <v>48</v>
      </c>
      <c r="C183" s="4">
        <v>0</v>
      </c>
      <c r="E183" s="10">
        <v>0.12638888888888888</v>
      </c>
      <c r="F183" s="4">
        <v>0</v>
      </c>
    </row>
    <row r="184" spans="1:9" ht="13" x14ac:dyDescent="0.15">
      <c r="A184" s="4" t="s">
        <v>40</v>
      </c>
      <c r="B184" s="4" t="s">
        <v>48</v>
      </c>
      <c r="C184" s="4">
        <v>0</v>
      </c>
      <c r="E184" s="10">
        <v>0.12638888888888888</v>
      </c>
      <c r="F184" s="4">
        <v>0</v>
      </c>
    </row>
    <row r="185" spans="1:9" ht="13" x14ac:dyDescent="0.15">
      <c r="A185" s="4" t="s">
        <v>40</v>
      </c>
      <c r="B185" s="4" t="s">
        <v>48</v>
      </c>
      <c r="C185" s="4">
        <v>0</v>
      </c>
      <c r="E185" s="10">
        <v>0.12638888888888888</v>
      </c>
      <c r="F185" s="4">
        <v>0</v>
      </c>
    </row>
    <row r="186" spans="1:9" ht="13" x14ac:dyDescent="0.15">
      <c r="A186" s="4" t="s">
        <v>40</v>
      </c>
      <c r="B186" s="4" t="s">
        <v>48</v>
      </c>
      <c r="C186" s="4">
        <v>0</v>
      </c>
      <c r="E186" s="10">
        <v>0.12638888888888888</v>
      </c>
      <c r="F186" s="4">
        <v>0</v>
      </c>
    </row>
    <row r="187" spans="1:9" ht="13" x14ac:dyDescent="0.15">
      <c r="A187" s="4" t="s">
        <v>40</v>
      </c>
      <c r="B187" s="4" t="s">
        <v>48</v>
      </c>
      <c r="C187" s="4">
        <v>0</v>
      </c>
      <c r="E187" s="10">
        <v>0.12638888888888888</v>
      </c>
      <c r="F187" s="4">
        <v>0</v>
      </c>
    </row>
    <row r="188" spans="1:9" ht="13" x14ac:dyDescent="0.15">
      <c r="A188" s="4" t="s">
        <v>40</v>
      </c>
      <c r="B188" s="4" t="s">
        <v>48</v>
      </c>
      <c r="C188" s="4">
        <v>0</v>
      </c>
      <c r="E188" s="10">
        <v>0.12638888888888888</v>
      </c>
      <c r="F188" s="4">
        <v>0</v>
      </c>
    </row>
    <row r="189" spans="1:9" ht="13" x14ac:dyDescent="0.15">
      <c r="A189" s="4" t="s">
        <v>20</v>
      </c>
      <c r="B189" s="4" t="s">
        <v>48</v>
      </c>
      <c r="C189" s="4">
        <v>0</v>
      </c>
      <c r="D189" s="9">
        <v>45814</v>
      </c>
      <c r="E189" s="10">
        <v>0.12708333333333333</v>
      </c>
      <c r="F189" s="4">
        <v>1</v>
      </c>
      <c r="G189" s="7"/>
      <c r="H189" s="7" t="s">
        <v>49</v>
      </c>
      <c r="I189" s="4">
        <v>3</v>
      </c>
    </row>
    <row r="190" spans="1:9" ht="13" x14ac:dyDescent="0.15">
      <c r="A190" s="4" t="s">
        <v>40</v>
      </c>
      <c r="B190" s="4" t="s">
        <v>41</v>
      </c>
      <c r="C190" s="4">
        <v>0</v>
      </c>
      <c r="E190" s="10">
        <v>0.12708333333333333</v>
      </c>
      <c r="F190" s="4">
        <v>0</v>
      </c>
      <c r="I190" s="4">
        <v>3</v>
      </c>
    </row>
    <row r="191" spans="1:9" ht="13" x14ac:dyDescent="0.15">
      <c r="A191" s="4" t="s">
        <v>40</v>
      </c>
      <c r="B191" s="4" t="s">
        <v>41</v>
      </c>
      <c r="E191" s="10">
        <v>0.12708333333333333</v>
      </c>
      <c r="F191" s="4">
        <v>1</v>
      </c>
    </row>
    <row r="192" spans="1:9" ht="13" x14ac:dyDescent="0.15">
      <c r="A192" s="4" t="s">
        <v>40</v>
      </c>
      <c r="B192" s="4" t="s">
        <v>41</v>
      </c>
      <c r="E192" s="10">
        <v>0.12708333333333333</v>
      </c>
      <c r="F192" s="4">
        <v>0</v>
      </c>
    </row>
    <row r="193" spans="1:9" ht="13" x14ac:dyDescent="0.15">
      <c r="A193" s="4" t="s">
        <v>40</v>
      </c>
      <c r="B193" s="4" t="s">
        <v>48</v>
      </c>
      <c r="C193" s="4">
        <v>0</v>
      </c>
      <c r="E193" s="10">
        <v>0.12708333333333333</v>
      </c>
      <c r="F193" s="4">
        <v>0</v>
      </c>
    </row>
    <row r="194" spans="1:9" ht="13" x14ac:dyDescent="0.15">
      <c r="A194" s="4" t="s">
        <v>40</v>
      </c>
      <c r="B194" s="4" t="s">
        <v>48</v>
      </c>
      <c r="C194" s="4">
        <v>0</v>
      </c>
      <c r="E194" s="10">
        <v>0.12708333333333333</v>
      </c>
      <c r="F194" s="4">
        <v>0</v>
      </c>
    </row>
    <row r="195" spans="1:9" ht="13" x14ac:dyDescent="0.15">
      <c r="A195" s="4" t="s">
        <v>40</v>
      </c>
      <c r="B195" s="4" t="s">
        <v>48</v>
      </c>
      <c r="C195" s="4">
        <v>0</v>
      </c>
      <c r="E195" s="10">
        <v>0.12708333333333333</v>
      </c>
      <c r="F195" s="4">
        <v>0</v>
      </c>
    </row>
    <row r="196" spans="1:9" ht="13" x14ac:dyDescent="0.15">
      <c r="A196" s="4" t="s">
        <v>40</v>
      </c>
      <c r="B196" s="4" t="s">
        <v>48</v>
      </c>
      <c r="C196" s="4">
        <v>0</v>
      </c>
      <c r="E196" s="10">
        <v>0.12708333333333333</v>
      </c>
      <c r="F196" s="4">
        <v>0</v>
      </c>
    </row>
    <row r="197" spans="1:9" ht="13" x14ac:dyDescent="0.15">
      <c r="A197" s="4" t="s">
        <v>40</v>
      </c>
      <c r="B197" s="4" t="s">
        <v>48</v>
      </c>
      <c r="C197" s="4">
        <v>0</v>
      </c>
      <c r="E197" s="10">
        <v>0.12708333333333333</v>
      </c>
      <c r="F197" s="4">
        <v>0</v>
      </c>
    </row>
    <row r="198" spans="1:9" ht="13" x14ac:dyDescent="0.15">
      <c r="A198" s="4" t="s">
        <v>40</v>
      </c>
      <c r="B198" s="4" t="s">
        <v>48</v>
      </c>
      <c r="C198" s="4">
        <v>0</v>
      </c>
      <c r="E198" s="10">
        <v>0.12708333333333333</v>
      </c>
      <c r="F198" s="4">
        <v>0</v>
      </c>
    </row>
    <row r="199" spans="1:9" ht="13" x14ac:dyDescent="0.15">
      <c r="A199" s="6" t="s">
        <v>20</v>
      </c>
      <c r="B199" s="4" t="s">
        <v>37</v>
      </c>
      <c r="C199" s="4">
        <v>0</v>
      </c>
      <c r="E199" s="10">
        <v>0.12777777777777777</v>
      </c>
      <c r="F199" s="4">
        <v>1</v>
      </c>
      <c r="I199" s="4">
        <v>2</v>
      </c>
    </row>
    <row r="200" spans="1:9" ht="13" x14ac:dyDescent="0.15">
      <c r="A200" s="4" t="s">
        <v>40</v>
      </c>
      <c r="B200" s="4" t="s">
        <v>48</v>
      </c>
      <c r="C200" s="4">
        <v>0</v>
      </c>
      <c r="E200" s="10">
        <v>0.12777777777777777</v>
      </c>
      <c r="F200" s="4">
        <v>0</v>
      </c>
    </row>
    <row r="201" spans="1:9" ht="13" x14ac:dyDescent="0.15">
      <c r="A201" s="4" t="s">
        <v>40</v>
      </c>
      <c r="B201" s="4" t="s">
        <v>48</v>
      </c>
      <c r="C201" s="4">
        <v>0</v>
      </c>
      <c r="E201" s="10">
        <v>0.12777777777777777</v>
      </c>
      <c r="F201" s="4">
        <v>0</v>
      </c>
    </row>
    <row r="202" spans="1:9" ht="13" x14ac:dyDescent="0.15">
      <c r="A202" s="4" t="s">
        <v>40</v>
      </c>
      <c r="B202" s="4" t="s">
        <v>48</v>
      </c>
      <c r="C202" s="4">
        <v>0</v>
      </c>
      <c r="E202" s="10">
        <v>0.12777777777777777</v>
      </c>
      <c r="F202" s="4">
        <v>0</v>
      </c>
    </row>
    <row r="203" spans="1:9" ht="13" x14ac:dyDescent="0.15">
      <c r="A203" s="4" t="s">
        <v>40</v>
      </c>
      <c r="B203" s="4" t="s">
        <v>48</v>
      </c>
      <c r="C203" s="4">
        <v>0</v>
      </c>
      <c r="E203" s="10">
        <v>0.12777777777777777</v>
      </c>
      <c r="F203" s="4">
        <v>0</v>
      </c>
    </row>
    <row r="204" spans="1:9" ht="13" x14ac:dyDescent="0.15">
      <c r="A204" s="4" t="s">
        <v>40</v>
      </c>
      <c r="B204" s="4" t="s">
        <v>48</v>
      </c>
      <c r="C204" s="4">
        <v>0</v>
      </c>
      <c r="E204" s="10">
        <v>0.12777777777777777</v>
      </c>
      <c r="F204" s="4">
        <v>0</v>
      </c>
    </row>
    <row r="205" spans="1:9" ht="13" x14ac:dyDescent="0.15">
      <c r="A205" s="25" t="s">
        <v>40</v>
      </c>
      <c r="B205" s="25" t="s">
        <v>48</v>
      </c>
      <c r="C205" s="25">
        <v>0</v>
      </c>
      <c r="D205" s="25"/>
      <c r="E205" s="30">
        <v>0.12777777777777777</v>
      </c>
      <c r="F205" s="25">
        <v>0</v>
      </c>
      <c r="G205" s="25"/>
      <c r="H205" s="25"/>
      <c r="I205" s="25"/>
    </row>
    <row r="206" spans="1:9" ht="13" x14ac:dyDescent="0.15">
      <c r="A206" s="4" t="s">
        <v>40</v>
      </c>
      <c r="B206" s="4" t="s">
        <v>48</v>
      </c>
      <c r="C206" s="4">
        <v>0</v>
      </c>
      <c r="E206" s="10">
        <v>0.12777777777777777</v>
      </c>
      <c r="F206" s="4">
        <v>0</v>
      </c>
    </row>
    <row r="207" spans="1:9" ht="13" x14ac:dyDescent="0.15">
      <c r="A207" s="4" t="s">
        <v>20</v>
      </c>
      <c r="B207" s="4" t="s">
        <v>48</v>
      </c>
      <c r="C207" s="4">
        <v>0</v>
      </c>
      <c r="D207" s="9">
        <v>45815</v>
      </c>
      <c r="E207" s="10">
        <v>0.16666666666666666</v>
      </c>
      <c r="F207" s="4">
        <v>1</v>
      </c>
      <c r="G207" s="7"/>
      <c r="H207" s="7" t="s">
        <v>49</v>
      </c>
      <c r="I207" s="4">
        <v>1</v>
      </c>
    </row>
    <row r="208" spans="1:9" ht="13" x14ac:dyDescent="0.15">
      <c r="A208" s="4" t="s">
        <v>40</v>
      </c>
      <c r="B208" s="4" t="s">
        <v>41</v>
      </c>
      <c r="C208" s="4">
        <v>0</v>
      </c>
      <c r="D208" s="9"/>
      <c r="E208" s="10">
        <v>0.16666666666666666</v>
      </c>
      <c r="F208" s="4">
        <v>0</v>
      </c>
      <c r="G208" s="7"/>
      <c r="H208" s="7"/>
      <c r="I208" s="4"/>
    </row>
    <row r="209" spans="1:9" ht="13" x14ac:dyDescent="0.15">
      <c r="A209" s="4" t="s">
        <v>40</v>
      </c>
      <c r="B209" s="4" t="s">
        <v>41</v>
      </c>
      <c r="C209" s="4"/>
      <c r="E209" s="10">
        <v>0.16666666666666666</v>
      </c>
      <c r="F209" s="4">
        <v>0</v>
      </c>
      <c r="I209" s="4"/>
    </row>
    <row r="210" spans="1:9" ht="13" x14ac:dyDescent="0.15">
      <c r="A210" s="4" t="s">
        <v>40</v>
      </c>
      <c r="B210" s="4" t="s">
        <v>41</v>
      </c>
      <c r="E210" s="10">
        <v>0.16666666666666666</v>
      </c>
      <c r="F210" s="4">
        <v>1</v>
      </c>
    </row>
    <row r="211" spans="1:9" ht="13" x14ac:dyDescent="0.15">
      <c r="A211" s="4" t="s">
        <v>40</v>
      </c>
      <c r="B211" s="4" t="s">
        <v>41</v>
      </c>
      <c r="E211" s="10">
        <v>0.16666666666666666</v>
      </c>
      <c r="F211" s="4">
        <v>1</v>
      </c>
    </row>
    <row r="212" spans="1:9" ht="13" x14ac:dyDescent="0.15">
      <c r="A212" s="4" t="s">
        <v>40</v>
      </c>
      <c r="B212" s="4" t="s">
        <v>48</v>
      </c>
      <c r="C212" s="4">
        <v>0</v>
      </c>
      <c r="E212" s="10">
        <v>0.16666666666666666</v>
      </c>
      <c r="F212" s="4">
        <v>1</v>
      </c>
    </row>
    <row r="213" spans="1:9" ht="13" x14ac:dyDescent="0.15">
      <c r="A213" s="4" t="s">
        <v>40</v>
      </c>
      <c r="B213" s="4" t="s">
        <v>48</v>
      </c>
      <c r="C213" s="4">
        <v>0</v>
      </c>
      <c r="E213" s="10">
        <v>0.16666666666666666</v>
      </c>
      <c r="F213" s="4">
        <v>1</v>
      </c>
    </row>
    <row r="214" spans="1:9" ht="13" x14ac:dyDescent="0.15">
      <c r="A214" s="4" t="s">
        <v>40</v>
      </c>
      <c r="B214" s="4" t="s">
        <v>48</v>
      </c>
      <c r="C214" s="4">
        <v>0</v>
      </c>
      <c r="E214" s="10">
        <v>0.16666666666666666</v>
      </c>
      <c r="F214" s="4">
        <v>1</v>
      </c>
    </row>
    <row r="215" spans="1:9" ht="13" x14ac:dyDescent="0.15">
      <c r="A215" s="4" t="s">
        <v>40</v>
      </c>
      <c r="B215" s="4" t="s">
        <v>48</v>
      </c>
      <c r="C215" s="4">
        <v>0</v>
      </c>
      <c r="E215" s="10">
        <v>0.16666666666666666</v>
      </c>
      <c r="F215" s="4">
        <v>1</v>
      </c>
    </row>
    <row r="216" spans="1:9" ht="13" x14ac:dyDescent="0.15">
      <c r="A216" s="4" t="s">
        <v>40</v>
      </c>
      <c r="B216" s="4" t="s">
        <v>48</v>
      </c>
      <c r="C216" s="4">
        <v>0</v>
      </c>
      <c r="E216" s="10">
        <v>0.16666666666666666</v>
      </c>
      <c r="F216" s="4">
        <v>1</v>
      </c>
    </row>
    <row r="217" spans="1:9" ht="13" x14ac:dyDescent="0.15">
      <c r="A217" s="4" t="s">
        <v>40</v>
      </c>
      <c r="B217" s="4" t="s">
        <v>48</v>
      </c>
      <c r="C217" s="4">
        <v>1</v>
      </c>
      <c r="E217" s="10">
        <v>0.16666666666666666</v>
      </c>
      <c r="F217" s="4">
        <v>1</v>
      </c>
    </row>
    <row r="218" spans="1:9" ht="13" x14ac:dyDescent="0.15">
      <c r="A218" s="6" t="s">
        <v>20</v>
      </c>
      <c r="B218" s="4" t="s">
        <v>48</v>
      </c>
      <c r="C218" s="4">
        <v>0</v>
      </c>
      <c r="E218" s="10">
        <v>0.1673611111111111</v>
      </c>
      <c r="F218" s="4">
        <v>0</v>
      </c>
      <c r="I218" s="4">
        <v>1</v>
      </c>
    </row>
    <row r="219" spans="1:9" ht="13" x14ac:dyDescent="0.15">
      <c r="A219" s="4" t="s">
        <v>40</v>
      </c>
      <c r="B219" s="4" t="s">
        <v>48</v>
      </c>
      <c r="C219" s="4">
        <v>0</v>
      </c>
      <c r="E219" s="10">
        <v>0.1673611111111111</v>
      </c>
      <c r="F219" s="4">
        <v>0</v>
      </c>
    </row>
    <row r="220" spans="1:9" ht="13" x14ac:dyDescent="0.15">
      <c r="A220" s="4" t="s">
        <v>40</v>
      </c>
      <c r="B220" s="4" t="s">
        <v>48</v>
      </c>
      <c r="C220" s="4">
        <v>0</v>
      </c>
      <c r="E220" s="10">
        <v>0.1673611111111111</v>
      </c>
      <c r="F220" s="4">
        <v>0</v>
      </c>
    </row>
    <row r="221" spans="1:9" ht="13" x14ac:dyDescent="0.15">
      <c r="A221" s="4" t="s">
        <v>40</v>
      </c>
      <c r="B221" s="4" t="s">
        <v>48</v>
      </c>
      <c r="C221" s="4">
        <v>0</v>
      </c>
      <c r="E221" s="10">
        <v>0.1673611111111111</v>
      </c>
      <c r="F221" s="4">
        <v>0</v>
      </c>
    </row>
    <row r="222" spans="1:9" ht="13" x14ac:dyDescent="0.15">
      <c r="A222" s="4" t="s">
        <v>40</v>
      </c>
      <c r="B222" s="4" t="s">
        <v>48</v>
      </c>
      <c r="C222" s="4">
        <v>0</v>
      </c>
      <c r="E222" s="10">
        <v>0.1673611111111111</v>
      </c>
      <c r="F222" s="4">
        <v>0</v>
      </c>
    </row>
    <row r="223" spans="1:9" ht="13" x14ac:dyDescent="0.15">
      <c r="A223" s="4" t="s">
        <v>40</v>
      </c>
      <c r="B223" s="4" t="s">
        <v>48</v>
      </c>
      <c r="C223" s="4">
        <v>0</v>
      </c>
      <c r="E223" s="10">
        <v>0.1673611111111111</v>
      </c>
      <c r="F223" s="4">
        <v>0</v>
      </c>
    </row>
    <row r="224" spans="1:9" ht="13" x14ac:dyDescent="0.15">
      <c r="A224" s="4" t="s">
        <v>40</v>
      </c>
      <c r="B224" s="4" t="s">
        <v>48</v>
      </c>
      <c r="C224" s="4">
        <v>0</v>
      </c>
      <c r="E224" s="10">
        <v>0.1673611111111111</v>
      </c>
      <c r="F224" s="4">
        <v>0</v>
      </c>
    </row>
    <row r="225" spans="1:9" ht="13" x14ac:dyDescent="0.15">
      <c r="A225" s="6" t="s">
        <v>20</v>
      </c>
      <c r="B225" s="6" t="s">
        <v>23</v>
      </c>
      <c r="C225" s="8">
        <v>0</v>
      </c>
      <c r="D225" s="9"/>
      <c r="E225" s="10">
        <v>0.16805555555555557</v>
      </c>
      <c r="F225" s="6">
        <v>1</v>
      </c>
      <c r="G225" s="11"/>
      <c r="H225" s="11"/>
      <c r="I225" s="6">
        <v>1</v>
      </c>
    </row>
    <row r="226" spans="1:9" ht="13" x14ac:dyDescent="0.15">
      <c r="A226" s="6" t="s">
        <v>20</v>
      </c>
      <c r="B226" s="4" t="s">
        <v>48</v>
      </c>
      <c r="C226" s="4">
        <v>0</v>
      </c>
      <c r="E226" s="10">
        <v>0.16805555555555557</v>
      </c>
      <c r="F226" s="4">
        <v>0</v>
      </c>
      <c r="I226" s="4">
        <v>1</v>
      </c>
    </row>
    <row r="227" spans="1:9" ht="13" x14ac:dyDescent="0.15">
      <c r="A227" s="4" t="s">
        <v>40</v>
      </c>
      <c r="B227" s="4" t="s">
        <v>48</v>
      </c>
      <c r="C227" s="4">
        <v>0</v>
      </c>
      <c r="E227" s="10">
        <v>0.16805555555555557</v>
      </c>
      <c r="F227" s="4">
        <v>0</v>
      </c>
    </row>
    <row r="228" spans="1:9" ht="13" x14ac:dyDescent="0.15">
      <c r="A228" s="4" t="s">
        <v>40</v>
      </c>
      <c r="B228" s="4" t="s">
        <v>48</v>
      </c>
      <c r="C228" s="4">
        <v>0</v>
      </c>
      <c r="E228" s="10">
        <v>0.16805555555555557</v>
      </c>
      <c r="F228" s="4">
        <v>0</v>
      </c>
    </row>
    <row r="229" spans="1:9" ht="13" x14ac:dyDescent="0.15">
      <c r="A229" s="4" t="s">
        <v>40</v>
      </c>
      <c r="B229" s="4" t="s">
        <v>48</v>
      </c>
      <c r="C229" s="4">
        <v>0</v>
      </c>
      <c r="E229" s="10">
        <v>0.16805555555555557</v>
      </c>
      <c r="F229" s="4">
        <v>0</v>
      </c>
    </row>
    <row r="230" spans="1:9" ht="13" x14ac:dyDescent="0.15">
      <c r="A230" s="4" t="s">
        <v>40</v>
      </c>
      <c r="B230" s="4" t="s">
        <v>48</v>
      </c>
      <c r="C230" s="4">
        <v>0</v>
      </c>
      <c r="E230" s="10">
        <v>0.16805555555555557</v>
      </c>
      <c r="F230" s="4">
        <v>0</v>
      </c>
    </row>
    <row r="231" spans="1:9" ht="13" x14ac:dyDescent="0.15">
      <c r="A231" s="4" t="s">
        <v>40</v>
      </c>
      <c r="B231" s="4" t="s">
        <v>48</v>
      </c>
      <c r="C231" s="4">
        <v>0</v>
      </c>
      <c r="E231" s="10">
        <v>0.16805555555555557</v>
      </c>
      <c r="F231" s="4">
        <v>0</v>
      </c>
    </row>
    <row r="232" spans="1:9" ht="13" x14ac:dyDescent="0.15">
      <c r="A232" s="29" t="s">
        <v>40</v>
      </c>
      <c r="B232" s="29" t="s">
        <v>48</v>
      </c>
      <c r="C232" s="29">
        <v>0</v>
      </c>
      <c r="D232" s="29"/>
      <c r="E232" s="34">
        <v>0.16805555555555557</v>
      </c>
      <c r="F232" s="29">
        <v>0</v>
      </c>
      <c r="G232" s="29"/>
      <c r="H232" s="29"/>
      <c r="I232" s="29"/>
    </row>
    <row r="233" spans="1:9" ht="13" x14ac:dyDescent="0.15">
      <c r="A233" s="6" t="s">
        <v>20</v>
      </c>
      <c r="B233" s="6" t="s">
        <v>23</v>
      </c>
      <c r="C233" s="6">
        <v>0</v>
      </c>
      <c r="D233" s="9"/>
      <c r="E233" s="10">
        <v>0.16875000000000001</v>
      </c>
      <c r="F233" s="6">
        <v>0</v>
      </c>
      <c r="G233" s="11"/>
      <c r="H233" s="11"/>
      <c r="I233" s="6">
        <v>2</v>
      </c>
    </row>
    <row r="234" spans="1:9" ht="13" x14ac:dyDescent="0.15">
      <c r="A234" s="6" t="s">
        <v>20</v>
      </c>
      <c r="B234" s="4" t="s">
        <v>37</v>
      </c>
      <c r="C234" s="4">
        <v>0</v>
      </c>
      <c r="E234" s="10">
        <v>0.16875000000000001</v>
      </c>
      <c r="F234" s="4">
        <v>1</v>
      </c>
      <c r="I234" s="4">
        <v>2</v>
      </c>
    </row>
    <row r="235" spans="1:9" ht="13" x14ac:dyDescent="0.15">
      <c r="A235" s="4" t="s">
        <v>40</v>
      </c>
      <c r="B235" s="4" t="s">
        <v>48</v>
      </c>
      <c r="C235" s="4">
        <v>0</v>
      </c>
      <c r="E235" s="10">
        <v>0.16875000000000001</v>
      </c>
      <c r="F235" s="4">
        <v>0</v>
      </c>
    </row>
    <row r="236" spans="1:9" ht="13" x14ac:dyDescent="0.15">
      <c r="A236" s="4" t="s">
        <v>40</v>
      </c>
      <c r="B236" s="4" t="s">
        <v>48</v>
      </c>
      <c r="C236" s="4">
        <v>0</v>
      </c>
      <c r="E236" s="10">
        <v>0.16875000000000001</v>
      </c>
      <c r="F236" s="4">
        <v>0</v>
      </c>
    </row>
    <row r="237" spans="1:9" ht="13" x14ac:dyDescent="0.15">
      <c r="A237" s="25" t="s">
        <v>40</v>
      </c>
      <c r="B237" s="25" t="s">
        <v>48</v>
      </c>
      <c r="C237" s="25">
        <v>0</v>
      </c>
      <c r="D237" s="25"/>
      <c r="E237" s="30">
        <v>0.16875000000000001</v>
      </c>
      <c r="F237" s="25">
        <v>0</v>
      </c>
      <c r="G237" s="25"/>
      <c r="H237" s="25"/>
      <c r="I237" s="25"/>
    </row>
    <row r="238" spans="1:9" ht="13" x14ac:dyDescent="0.15">
      <c r="A238" s="4" t="s">
        <v>40</v>
      </c>
      <c r="B238" s="4" t="s">
        <v>48</v>
      </c>
      <c r="C238" s="4">
        <v>0</v>
      </c>
      <c r="E238" s="10">
        <v>0.16875000000000001</v>
      </c>
      <c r="F238" s="4">
        <v>0</v>
      </c>
    </row>
    <row r="239" spans="1:9" ht="13" x14ac:dyDescent="0.15">
      <c r="A239" s="4" t="s">
        <v>40</v>
      </c>
      <c r="B239" s="4" t="s">
        <v>48</v>
      </c>
      <c r="C239" s="4">
        <v>0</v>
      </c>
      <c r="E239" s="10">
        <v>0.16875000000000001</v>
      </c>
      <c r="F239" s="4">
        <v>0</v>
      </c>
    </row>
    <row r="240" spans="1:9" ht="13" x14ac:dyDescent="0.15">
      <c r="A240" s="4" t="s">
        <v>40</v>
      </c>
      <c r="B240" s="4" t="s">
        <v>48</v>
      </c>
      <c r="C240" s="4">
        <v>0</v>
      </c>
      <c r="E240" s="10">
        <v>0.16875000000000001</v>
      </c>
      <c r="F240" s="4">
        <v>0</v>
      </c>
    </row>
    <row r="241" spans="1:9" ht="28" x14ac:dyDescent="0.15">
      <c r="A241" s="4" t="s">
        <v>40</v>
      </c>
      <c r="B241" s="4" t="s">
        <v>23</v>
      </c>
      <c r="D241" s="9">
        <v>45871</v>
      </c>
      <c r="E241" s="10">
        <v>0.16875000000000001</v>
      </c>
      <c r="F241" s="4">
        <v>1</v>
      </c>
      <c r="H241" s="11" t="s">
        <v>29</v>
      </c>
    </row>
    <row r="242" spans="1:9" ht="13" x14ac:dyDescent="0.15">
      <c r="A242" s="6" t="s">
        <v>20</v>
      </c>
      <c r="B242" s="6" t="s">
        <v>23</v>
      </c>
      <c r="C242" s="6">
        <v>0</v>
      </c>
      <c r="D242" s="9"/>
      <c r="E242" s="10">
        <v>0.16944444444444445</v>
      </c>
      <c r="F242" s="6">
        <v>0</v>
      </c>
      <c r="G242" s="11"/>
      <c r="H242" s="11"/>
      <c r="I242" s="6">
        <v>3</v>
      </c>
    </row>
    <row r="243" spans="1:9" ht="13" x14ac:dyDescent="0.15">
      <c r="A243" s="28" t="s">
        <v>20</v>
      </c>
      <c r="B243" s="25" t="s">
        <v>37</v>
      </c>
      <c r="C243" s="25">
        <v>0</v>
      </c>
      <c r="D243" s="25"/>
      <c r="E243" s="30">
        <v>0.16944444444444445</v>
      </c>
      <c r="F243" s="25">
        <v>0</v>
      </c>
      <c r="G243" s="25"/>
      <c r="H243" s="25"/>
      <c r="I243" s="25">
        <v>3</v>
      </c>
    </row>
    <row r="244" spans="1:9" ht="13" x14ac:dyDescent="0.15">
      <c r="A244" s="6" t="s">
        <v>20</v>
      </c>
      <c r="B244" s="4" t="s">
        <v>48</v>
      </c>
      <c r="C244" s="4">
        <v>0</v>
      </c>
      <c r="E244" s="10">
        <v>0.16944444444444445</v>
      </c>
      <c r="F244" s="4">
        <v>1</v>
      </c>
      <c r="I244" s="4">
        <v>3</v>
      </c>
    </row>
    <row r="245" spans="1:9" ht="13" x14ac:dyDescent="0.15">
      <c r="A245" s="4" t="s">
        <v>40</v>
      </c>
      <c r="B245" s="4" t="s">
        <v>48</v>
      </c>
      <c r="C245" s="4">
        <v>0</v>
      </c>
      <c r="E245" s="10">
        <v>0.16944444444444445</v>
      </c>
      <c r="F245" s="4">
        <v>0</v>
      </c>
    </row>
    <row r="246" spans="1:9" ht="13" x14ac:dyDescent="0.15">
      <c r="A246" s="25" t="s">
        <v>40</v>
      </c>
      <c r="B246" s="25" t="s">
        <v>48</v>
      </c>
      <c r="C246" s="25">
        <v>0</v>
      </c>
      <c r="D246" s="25"/>
      <c r="E246" s="30">
        <v>0.16944444444444445</v>
      </c>
      <c r="F246" s="25">
        <v>0</v>
      </c>
      <c r="G246" s="25"/>
      <c r="H246" s="25"/>
      <c r="I246" s="25"/>
    </row>
    <row r="247" spans="1:9" ht="13" x14ac:dyDescent="0.15">
      <c r="A247" s="4" t="s">
        <v>40</v>
      </c>
      <c r="B247" s="4" t="s">
        <v>48</v>
      </c>
      <c r="C247" s="4">
        <v>0</v>
      </c>
      <c r="E247" s="10">
        <v>0.16944444444444445</v>
      </c>
      <c r="F247" s="4">
        <v>0</v>
      </c>
    </row>
    <row r="248" spans="1:9" ht="13" x14ac:dyDescent="0.15">
      <c r="A248" s="4" t="s">
        <v>40</v>
      </c>
      <c r="B248" s="4" t="s">
        <v>48</v>
      </c>
      <c r="C248" s="4">
        <v>0</v>
      </c>
      <c r="E248" s="10">
        <v>0.16944444444444445</v>
      </c>
      <c r="F248" s="4">
        <v>0</v>
      </c>
    </row>
    <row r="249" spans="1:9" ht="13" x14ac:dyDescent="0.15">
      <c r="A249" s="4" t="s">
        <v>40</v>
      </c>
      <c r="B249" s="4" t="s">
        <v>48</v>
      </c>
      <c r="C249" s="4">
        <v>0</v>
      </c>
      <c r="E249" s="10">
        <v>0.16944444444444445</v>
      </c>
      <c r="F249" s="4">
        <v>0</v>
      </c>
    </row>
    <row r="250" spans="1:9" ht="13" x14ac:dyDescent="0.15">
      <c r="A250" s="29" t="s">
        <v>40</v>
      </c>
      <c r="B250" s="29" t="s">
        <v>48</v>
      </c>
      <c r="C250" s="29">
        <v>0</v>
      </c>
      <c r="D250" s="29"/>
      <c r="E250" s="34">
        <v>0.16944444444444445</v>
      </c>
      <c r="F250" s="29">
        <v>0</v>
      </c>
      <c r="G250" s="29"/>
      <c r="H250" s="29"/>
      <c r="I250" s="29"/>
    </row>
    <row r="251" spans="1:9" ht="13" x14ac:dyDescent="0.15">
      <c r="A251" s="4" t="s">
        <v>40</v>
      </c>
      <c r="B251" s="4" t="s">
        <v>41</v>
      </c>
      <c r="C251" s="4"/>
      <c r="D251" s="9"/>
      <c r="E251" s="10">
        <v>0.20833333333333334</v>
      </c>
      <c r="F251" s="4">
        <v>1</v>
      </c>
      <c r="G251" s="7"/>
      <c r="H251" s="7"/>
      <c r="I251" s="4"/>
    </row>
    <row r="252" spans="1:9" ht="13" x14ac:dyDescent="0.15">
      <c r="A252" s="4" t="s">
        <v>40</v>
      </c>
      <c r="B252" s="4" t="s">
        <v>41</v>
      </c>
      <c r="C252" s="4"/>
      <c r="E252" s="10">
        <v>0.20833333333333334</v>
      </c>
      <c r="F252" s="4">
        <v>1</v>
      </c>
      <c r="I252" s="4"/>
    </row>
    <row r="253" spans="1:9" ht="13" x14ac:dyDescent="0.15">
      <c r="A253" s="4" t="s">
        <v>40</v>
      </c>
      <c r="B253" s="4" t="s">
        <v>41</v>
      </c>
      <c r="E253" s="10">
        <v>0.20833333333333334</v>
      </c>
      <c r="F253" s="4">
        <v>0</v>
      </c>
    </row>
    <row r="254" spans="1:9" ht="13" x14ac:dyDescent="0.15">
      <c r="A254" s="4" t="s">
        <v>40</v>
      </c>
      <c r="B254" s="4" t="s">
        <v>41</v>
      </c>
      <c r="E254" s="10">
        <v>0.20833333333333334</v>
      </c>
      <c r="F254" s="4">
        <v>0</v>
      </c>
    </row>
    <row r="255" spans="1:9" ht="13" x14ac:dyDescent="0.15">
      <c r="A255" s="25" t="s">
        <v>40</v>
      </c>
      <c r="B255" s="25" t="s">
        <v>48</v>
      </c>
      <c r="C255" s="25">
        <v>0</v>
      </c>
      <c r="D255" s="25"/>
      <c r="E255" s="30">
        <v>0.20833333333333334</v>
      </c>
      <c r="F255" s="25">
        <v>1</v>
      </c>
      <c r="G255" s="25"/>
      <c r="H255" s="25"/>
      <c r="I255" s="25"/>
    </row>
    <row r="256" spans="1:9" ht="13" x14ac:dyDescent="0.15">
      <c r="A256" s="4" t="s">
        <v>40</v>
      </c>
      <c r="B256" s="4" t="s">
        <v>48</v>
      </c>
      <c r="C256" s="4">
        <v>0</v>
      </c>
      <c r="E256" s="10">
        <v>0.20833333333333334</v>
      </c>
      <c r="F256" s="4">
        <v>1</v>
      </c>
    </row>
    <row r="257" spans="1:9" ht="13" x14ac:dyDescent="0.15">
      <c r="A257" s="4" t="s">
        <v>40</v>
      </c>
      <c r="B257" s="4" t="s">
        <v>48</v>
      </c>
      <c r="C257" s="4">
        <v>0</v>
      </c>
      <c r="E257" s="10">
        <v>0.20833333333333334</v>
      </c>
      <c r="F257" s="4">
        <v>1</v>
      </c>
    </row>
    <row r="258" spans="1:9" ht="13" x14ac:dyDescent="0.15">
      <c r="A258" s="4" t="s">
        <v>40</v>
      </c>
      <c r="B258" s="4" t="s">
        <v>48</v>
      </c>
      <c r="C258" s="4">
        <v>0</v>
      </c>
      <c r="E258" s="10">
        <v>0.20833333333333334</v>
      </c>
      <c r="F258" s="4">
        <v>1</v>
      </c>
    </row>
    <row r="259" spans="1:9" ht="13" x14ac:dyDescent="0.15">
      <c r="A259" s="4" t="s">
        <v>40</v>
      </c>
      <c r="B259" s="4" t="s">
        <v>48</v>
      </c>
      <c r="C259" s="4">
        <v>1</v>
      </c>
      <c r="E259" s="10">
        <v>0.20833333333333334</v>
      </c>
      <c r="F259" s="4">
        <v>1</v>
      </c>
    </row>
    <row r="260" spans="1:9" ht="13" x14ac:dyDescent="0.15">
      <c r="A260" s="4" t="s">
        <v>40</v>
      </c>
      <c r="B260" s="4" t="s">
        <v>48</v>
      </c>
      <c r="C260" s="4">
        <v>0</v>
      </c>
      <c r="E260" s="10">
        <v>0.20833333333333334</v>
      </c>
      <c r="F260" s="4">
        <v>1</v>
      </c>
    </row>
    <row r="261" spans="1:9" ht="13" x14ac:dyDescent="0.15">
      <c r="A261" s="4" t="s">
        <v>40</v>
      </c>
      <c r="B261" s="4" t="s">
        <v>48</v>
      </c>
      <c r="C261" s="4">
        <v>0</v>
      </c>
      <c r="E261" s="10">
        <v>0.20902777777777778</v>
      </c>
      <c r="F261" s="4">
        <v>0</v>
      </c>
    </row>
    <row r="262" spans="1:9" ht="13" x14ac:dyDescent="0.15">
      <c r="A262" s="4" t="s">
        <v>40</v>
      </c>
      <c r="B262" s="4" t="s">
        <v>48</v>
      </c>
      <c r="C262" s="4">
        <v>0</v>
      </c>
      <c r="E262" s="10">
        <v>0.20902777777777778</v>
      </c>
      <c r="F262" s="4">
        <v>0</v>
      </c>
    </row>
    <row r="263" spans="1:9" ht="13" x14ac:dyDescent="0.15">
      <c r="A263" s="4" t="s">
        <v>40</v>
      </c>
      <c r="B263" s="4" t="s">
        <v>48</v>
      </c>
      <c r="C263" s="4">
        <v>0</v>
      </c>
      <c r="E263" s="10">
        <v>0.20902777777777778</v>
      </c>
      <c r="F263" s="4">
        <v>0</v>
      </c>
    </row>
    <row r="264" spans="1:9" ht="13" x14ac:dyDescent="0.15">
      <c r="A264" s="4" t="s">
        <v>40</v>
      </c>
      <c r="B264" s="4" t="s">
        <v>48</v>
      </c>
      <c r="C264" s="4">
        <v>0</v>
      </c>
      <c r="E264" s="10">
        <v>0.20902777777777778</v>
      </c>
      <c r="F264" s="4">
        <v>0</v>
      </c>
    </row>
    <row r="265" spans="1:9" ht="13" x14ac:dyDescent="0.15">
      <c r="A265" s="4" t="s">
        <v>40</v>
      </c>
      <c r="B265" s="4" t="s">
        <v>48</v>
      </c>
      <c r="C265" s="4">
        <v>0</v>
      </c>
      <c r="E265" s="10">
        <v>0.20902777777777778</v>
      </c>
      <c r="F265" s="4">
        <v>0</v>
      </c>
    </row>
    <row r="266" spans="1:9" ht="13" x14ac:dyDescent="0.15">
      <c r="A266" s="4" t="s">
        <v>40</v>
      </c>
      <c r="B266" s="4" t="s">
        <v>48</v>
      </c>
      <c r="C266" s="4">
        <v>0</v>
      </c>
      <c r="E266" s="10">
        <v>0.20902777777777778</v>
      </c>
      <c r="F266" s="4">
        <v>0</v>
      </c>
    </row>
    <row r="267" spans="1:9" ht="13" x14ac:dyDescent="0.15">
      <c r="A267" s="6" t="s">
        <v>20</v>
      </c>
      <c r="B267" s="6" t="s">
        <v>23</v>
      </c>
      <c r="C267" s="6">
        <v>0</v>
      </c>
      <c r="D267" s="9"/>
      <c r="E267" s="10">
        <v>0.20972222222222223</v>
      </c>
      <c r="F267" s="6">
        <v>1</v>
      </c>
      <c r="G267" s="11"/>
      <c r="H267" s="11"/>
      <c r="I267" s="6">
        <v>3</v>
      </c>
    </row>
    <row r="268" spans="1:9" ht="13" x14ac:dyDescent="0.15">
      <c r="A268" s="6" t="s">
        <v>20</v>
      </c>
      <c r="B268" s="4" t="s">
        <v>37</v>
      </c>
      <c r="C268" s="4">
        <v>0</v>
      </c>
      <c r="E268" s="10">
        <v>0.20972222222222223</v>
      </c>
      <c r="F268" s="4">
        <v>1</v>
      </c>
      <c r="I268" s="4">
        <v>3</v>
      </c>
    </row>
    <row r="269" spans="1:9" ht="13" x14ac:dyDescent="0.15">
      <c r="A269" s="6" t="s">
        <v>20</v>
      </c>
      <c r="B269" s="4" t="s">
        <v>18</v>
      </c>
      <c r="C269" s="4">
        <v>0</v>
      </c>
      <c r="E269" s="10">
        <v>0.20972222222222223</v>
      </c>
      <c r="F269" s="4">
        <v>1</v>
      </c>
      <c r="I269" s="4">
        <v>3</v>
      </c>
    </row>
    <row r="270" spans="1:9" ht="13" x14ac:dyDescent="0.15">
      <c r="A270" s="4" t="s">
        <v>40</v>
      </c>
      <c r="B270" s="4" t="s">
        <v>48</v>
      </c>
      <c r="C270" s="4">
        <v>0</v>
      </c>
      <c r="E270" s="10">
        <v>0.20972222222222223</v>
      </c>
      <c r="F270" s="4">
        <v>0</v>
      </c>
    </row>
    <row r="271" spans="1:9" ht="13" x14ac:dyDescent="0.15">
      <c r="A271" s="4" t="s">
        <v>40</v>
      </c>
      <c r="B271" s="4" t="s">
        <v>48</v>
      </c>
      <c r="C271" s="4">
        <v>0</v>
      </c>
      <c r="E271" s="10">
        <v>0.20972222222222223</v>
      </c>
      <c r="F271" s="4">
        <v>0</v>
      </c>
    </row>
    <row r="272" spans="1:9" ht="13" x14ac:dyDescent="0.15">
      <c r="A272" s="4" t="s">
        <v>40</v>
      </c>
      <c r="B272" s="4" t="s">
        <v>48</v>
      </c>
      <c r="C272" s="4">
        <v>0</v>
      </c>
      <c r="E272" s="10">
        <v>0.20972222222222223</v>
      </c>
      <c r="F272" s="4">
        <v>0</v>
      </c>
    </row>
    <row r="273" spans="1:9" ht="13" x14ac:dyDescent="0.15">
      <c r="A273" s="4" t="s">
        <v>40</v>
      </c>
      <c r="B273" s="4" t="s">
        <v>48</v>
      </c>
      <c r="C273" s="4">
        <v>0</v>
      </c>
      <c r="E273" s="10">
        <v>0.20972222222222223</v>
      </c>
      <c r="F273" s="4">
        <v>0</v>
      </c>
    </row>
    <row r="274" spans="1:9" ht="13" x14ac:dyDescent="0.15">
      <c r="A274" s="4" t="s">
        <v>40</v>
      </c>
      <c r="B274" s="4" t="s">
        <v>48</v>
      </c>
      <c r="C274" s="4">
        <v>0</v>
      </c>
      <c r="E274" s="10">
        <v>0.20972222222222223</v>
      </c>
      <c r="F274" s="4">
        <v>0</v>
      </c>
    </row>
    <row r="275" spans="1:9" ht="13" x14ac:dyDescent="0.15">
      <c r="A275" s="4" t="s">
        <v>40</v>
      </c>
      <c r="B275" s="4" t="s">
        <v>48</v>
      </c>
      <c r="C275" s="4">
        <v>0</v>
      </c>
      <c r="E275" s="10">
        <v>0.20972222222222223</v>
      </c>
      <c r="F275" s="4">
        <v>0</v>
      </c>
    </row>
    <row r="276" spans="1:9" ht="13" x14ac:dyDescent="0.15">
      <c r="A276" s="6" t="s">
        <v>20</v>
      </c>
      <c r="B276" s="6" t="s">
        <v>23</v>
      </c>
      <c r="C276" s="6">
        <v>0</v>
      </c>
      <c r="D276" s="9"/>
      <c r="E276" s="10">
        <v>0.21041666666666667</v>
      </c>
      <c r="F276" s="6">
        <v>0</v>
      </c>
      <c r="G276" s="11"/>
      <c r="H276" s="11"/>
      <c r="I276" s="6">
        <v>3</v>
      </c>
    </row>
    <row r="277" spans="1:9" ht="13" x14ac:dyDescent="0.15">
      <c r="A277" s="6" t="s">
        <v>20</v>
      </c>
      <c r="B277" s="4" t="s">
        <v>37</v>
      </c>
      <c r="C277" s="4">
        <v>0</v>
      </c>
      <c r="E277" s="10">
        <v>0.21041666666666667</v>
      </c>
      <c r="F277" s="4">
        <v>0</v>
      </c>
      <c r="I277" s="4">
        <v>3</v>
      </c>
    </row>
    <row r="278" spans="1:9" ht="13" x14ac:dyDescent="0.15">
      <c r="A278" s="6" t="s">
        <v>20</v>
      </c>
      <c r="B278" s="4" t="s">
        <v>18</v>
      </c>
      <c r="C278" s="4">
        <v>0</v>
      </c>
      <c r="E278" s="10">
        <v>0.21041666666666667</v>
      </c>
      <c r="F278" s="4">
        <v>0</v>
      </c>
      <c r="I278" s="4">
        <v>3</v>
      </c>
    </row>
    <row r="279" spans="1:9" ht="13" x14ac:dyDescent="0.15">
      <c r="A279" s="4" t="s">
        <v>40</v>
      </c>
      <c r="B279" s="4" t="s">
        <v>48</v>
      </c>
      <c r="C279" s="4">
        <v>0</v>
      </c>
      <c r="E279" s="10">
        <v>0.21041666666666667</v>
      </c>
      <c r="F279" s="4">
        <v>0</v>
      </c>
    </row>
    <row r="280" spans="1:9" ht="13" x14ac:dyDescent="0.15">
      <c r="A280" s="4" t="s">
        <v>40</v>
      </c>
      <c r="B280" s="4" t="s">
        <v>48</v>
      </c>
      <c r="C280" s="4">
        <v>0</v>
      </c>
      <c r="E280" s="10">
        <v>0.21041666666666667</v>
      </c>
      <c r="F280" s="4">
        <v>0</v>
      </c>
    </row>
    <row r="281" spans="1:9" ht="13" x14ac:dyDescent="0.15">
      <c r="A281" s="4" t="s">
        <v>40</v>
      </c>
      <c r="B281" s="4" t="s">
        <v>48</v>
      </c>
      <c r="C281" s="4">
        <v>0</v>
      </c>
      <c r="E281" s="10">
        <v>0.21041666666666667</v>
      </c>
      <c r="F281" s="4">
        <v>0</v>
      </c>
    </row>
    <row r="282" spans="1:9" ht="13" x14ac:dyDescent="0.15">
      <c r="A282" s="4" t="s">
        <v>40</v>
      </c>
      <c r="B282" s="4" t="s">
        <v>48</v>
      </c>
      <c r="C282" s="4">
        <v>0</v>
      </c>
      <c r="E282" s="10">
        <v>0.21041666666666667</v>
      </c>
      <c r="F282" s="4">
        <v>0</v>
      </c>
    </row>
    <row r="283" spans="1:9" ht="13" x14ac:dyDescent="0.15">
      <c r="A283" s="4" t="s">
        <v>40</v>
      </c>
      <c r="B283" s="4" t="s">
        <v>48</v>
      </c>
      <c r="C283" s="4">
        <v>0</v>
      </c>
      <c r="E283" s="10">
        <v>0.21041666666666667</v>
      </c>
      <c r="F283" s="4">
        <v>0</v>
      </c>
    </row>
    <row r="284" spans="1:9" ht="13" x14ac:dyDescent="0.15">
      <c r="A284" s="4" t="s">
        <v>40</v>
      </c>
      <c r="B284" s="4" t="s">
        <v>48</v>
      </c>
      <c r="C284" s="4">
        <v>0</v>
      </c>
      <c r="E284" s="10">
        <v>0.21041666666666667</v>
      </c>
      <c r="F284" s="4">
        <v>0</v>
      </c>
    </row>
    <row r="285" spans="1:9" ht="13" x14ac:dyDescent="0.15">
      <c r="A285" s="4" t="s">
        <v>40</v>
      </c>
      <c r="B285" s="4" t="s">
        <v>23</v>
      </c>
      <c r="D285" s="9"/>
      <c r="E285" s="10">
        <v>0.21041666666666667</v>
      </c>
      <c r="F285" s="4">
        <v>1</v>
      </c>
    </row>
    <row r="286" spans="1:9" ht="14" x14ac:dyDescent="0.15">
      <c r="A286" s="4" t="s">
        <v>40</v>
      </c>
      <c r="B286" s="4" t="s">
        <v>18</v>
      </c>
      <c r="C286" s="4">
        <v>0</v>
      </c>
      <c r="D286" s="9">
        <v>45871</v>
      </c>
      <c r="E286" s="10">
        <v>0.21111111111111111</v>
      </c>
      <c r="F286" s="4">
        <v>1</v>
      </c>
      <c r="G286" s="16"/>
      <c r="H286" s="16" t="s">
        <v>21</v>
      </c>
      <c r="I286" s="4">
        <v>2</v>
      </c>
    </row>
    <row r="287" spans="1:9" ht="13" x14ac:dyDescent="0.15">
      <c r="A287" s="4" t="s">
        <v>40</v>
      </c>
      <c r="B287" s="4" t="s">
        <v>48</v>
      </c>
      <c r="C287" s="4">
        <v>0</v>
      </c>
      <c r="E287" s="10">
        <v>0.21111111111111111</v>
      </c>
      <c r="F287" s="4">
        <v>0</v>
      </c>
    </row>
    <row r="288" spans="1:9" ht="13" x14ac:dyDescent="0.15">
      <c r="A288" s="4" t="s">
        <v>40</v>
      </c>
      <c r="B288" s="4" t="s">
        <v>48</v>
      </c>
      <c r="C288" s="4">
        <v>0</v>
      </c>
      <c r="E288" s="10">
        <v>0.21111111111111111</v>
      </c>
      <c r="F288" s="4">
        <v>0</v>
      </c>
    </row>
    <row r="289" spans="1:9" ht="13" x14ac:dyDescent="0.15">
      <c r="A289" s="4" t="s">
        <v>40</v>
      </c>
      <c r="B289" s="4" t="s">
        <v>48</v>
      </c>
      <c r="C289" s="4">
        <v>0</v>
      </c>
      <c r="E289" s="10">
        <v>0.21111111111111111</v>
      </c>
      <c r="F289" s="4">
        <v>0</v>
      </c>
    </row>
    <row r="290" spans="1:9" ht="13" x14ac:dyDescent="0.15">
      <c r="A290" s="4" t="s">
        <v>40</v>
      </c>
      <c r="B290" s="4" t="s">
        <v>48</v>
      </c>
      <c r="C290" s="4">
        <v>0</v>
      </c>
      <c r="E290" s="10">
        <v>0.21111111111111111</v>
      </c>
      <c r="F290" s="4">
        <v>0</v>
      </c>
    </row>
    <row r="291" spans="1:9" ht="13" x14ac:dyDescent="0.15">
      <c r="A291" s="4" t="s">
        <v>40</v>
      </c>
      <c r="B291" s="4" t="s">
        <v>48</v>
      </c>
      <c r="C291" s="4">
        <v>0</v>
      </c>
      <c r="E291" s="10">
        <v>0.21111111111111111</v>
      </c>
      <c r="F291" s="4">
        <v>0</v>
      </c>
    </row>
    <row r="292" spans="1:9" ht="13" x14ac:dyDescent="0.15">
      <c r="A292" s="4" t="s">
        <v>40</v>
      </c>
      <c r="B292" s="4" t="s">
        <v>48</v>
      </c>
      <c r="C292" s="4">
        <v>0</v>
      </c>
      <c r="E292" s="10">
        <v>0.21111111111111111</v>
      </c>
      <c r="F292" s="4">
        <v>0</v>
      </c>
    </row>
    <row r="293" spans="1:9" ht="13" x14ac:dyDescent="0.15">
      <c r="A293" s="4" t="s">
        <v>40</v>
      </c>
      <c r="B293" s="4" t="s">
        <v>23</v>
      </c>
      <c r="D293" s="9"/>
      <c r="E293" s="10">
        <v>0.21111111111111111</v>
      </c>
      <c r="F293" s="4">
        <v>0</v>
      </c>
    </row>
    <row r="294" spans="1:9" ht="13" x14ac:dyDescent="0.15">
      <c r="A294" s="4" t="s">
        <v>40</v>
      </c>
      <c r="B294" s="4" t="s">
        <v>41</v>
      </c>
      <c r="C294" s="4"/>
      <c r="D294" s="9"/>
      <c r="E294" s="10">
        <v>0.25</v>
      </c>
      <c r="F294" s="4">
        <v>0</v>
      </c>
      <c r="G294" s="7"/>
      <c r="H294" s="7"/>
      <c r="I294" s="4"/>
    </row>
    <row r="295" spans="1:9" ht="13" x14ac:dyDescent="0.15">
      <c r="A295" s="4" t="s">
        <v>40</v>
      </c>
      <c r="B295" s="4" t="s">
        <v>18</v>
      </c>
      <c r="C295" s="4">
        <v>0</v>
      </c>
      <c r="E295" s="10">
        <v>0.25</v>
      </c>
      <c r="F295" s="4">
        <v>1</v>
      </c>
      <c r="I295" s="4">
        <v>3</v>
      </c>
    </row>
    <row r="296" spans="1:9" ht="13" x14ac:dyDescent="0.15">
      <c r="A296" s="4" t="s">
        <v>40</v>
      </c>
      <c r="B296" s="4" t="s">
        <v>48</v>
      </c>
      <c r="C296" s="4">
        <v>0</v>
      </c>
      <c r="E296" s="10">
        <v>0.25</v>
      </c>
      <c r="F296" s="4">
        <v>1</v>
      </c>
    </row>
    <row r="297" spans="1:9" ht="13" x14ac:dyDescent="0.15">
      <c r="A297" s="4" t="s">
        <v>40</v>
      </c>
      <c r="B297" s="4" t="s">
        <v>48</v>
      </c>
      <c r="C297" s="4">
        <v>0</v>
      </c>
      <c r="E297" s="10">
        <v>0.25</v>
      </c>
      <c r="F297" s="4">
        <v>1</v>
      </c>
    </row>
    <row r="298" spans="1:9" ht="13" x14ac:dyDescent="0.15">
      <c r="A298" s="4" t="s">
        <v>40</v>
      </c>
      <c r="B298" s="4" t="s">
        <v>48</v>
      </c>
      <c r="C298" s="4">
        <v>0</v>
      </c>
      <c r="E298" s="10">
        <v>0.25</v>
      </c>
      <c r="F298" s="4">
        <v>1</v>
      </c>
    </row>
    <row r="299" spans="1:9" ht="13" x14ac:dyDescent="0.15">
      <c r="A299" s="4" t="s">
        <v>40</v>
      </c>
      <c r="B299" s="4" t="s">
        <v>48</v>
      </c>
      <c r="C299" s="4">
        <v>0</v>
      </c>
      <c r="E299" s="10">
        <v>0.25</v>
      </c>
      <c r="F299" s="4">
        <v>1</v>
      </c>
    </row>
    <row r="300" spans="1:9" ht="13" x14ac:dyDescent="0.15">
      <c r="A300" s="25" t="s">
        <v>40</v>
      </c>
      <c r="B300" s="25" t="s">
        <v>48</v>
      </c>
      <c r="C300" s="25">
        <v>1</v>
      </c>
      <c r="D300" s="25"/>
      <c r="E300" s="30">
        <v>0.25</v>
      </c>
      <c r="F300" s="25">
        <v>1</v>
      </c>
      <c r="G300" s="25"/>
      <c r="H300" s="25"/>
      <c r="I300" s="25"/>
    </row>
    <row r="301" spans="1:9" ht="13" x14ac:dyDescent="0.15">
      <c r="A301" s="4" t="s">
        <v>40</v>
      </c>
      <c r="B301" s="4" t="s">
        <v>48</v>
      </c>
      <c r="C301" s="4">
        <v>0</v>
      </c>
      <c r="E301" s="10">
        <v>0.25</v>
      </c>
      <c r="F301" s="4">
        <v>1</v>
      </c>
    </row>
    <row r="302" spans="1:9" ht="13" x14ac:dyDescent="0.15">
      <c r="A302" s="4" t="s">
        <v>40</v>
      </c>
      <c r="B302" s="4" t="s">
        <v>48</v>
      </c>
      <c r="C302" s="4">
        <v>0</v>
      </c>
      <c r="E302" s="10">
        <v>0.25069444444444444</v>
      </c>
      <c r="F302" s="4">
        <v>0</v>
      </c>
    </row>
    <row r="303" spans="1:9" ht="13" x14ac:dyDescent="0.15">
      <c r="A303" s="4" t="s">
        <v>40</v>
      </c>
      <c r="B303" s="4" t="s">
        <v>48</v>
      </c>
      <c r="C303" s="4">
        <v>0</v>
      </c>
      <c r="E303" s="10">
        <v>0.25069444444444444</v>
      </c>
      <c r="F303" s="4">
        <v>0</v>
      </c>
    </row>
    <row r="304" spans="1:9" ht="13" x14ac:dyDescent="0.15">
      <c r="A304" s="4" t="s">
        <v>40</v>
      </c>
      <c r="B304" s="4" t="s">
        <v>48</v>
      </c>
      <c r="C304" s="4">
        <v>0</v>
      </c>
      <c r="E304" s="10">
        <v>0.25069444444444444</v>
      </c>
      <c r="F304" s="4">
        <v>0</v>
      </c>
    </row>
    <row r="305" spans="1:9" ht="13" x14ac:dyDescent="0.15">
      <c r="A305" s="4" t="s">
        <v>40</v>
      </c>
      <c r="B305" s="4" t="s">
        <v>48</v>
      </c>
      <c r="C305" s="4">
        <v>0</v>
      </c>
      <c r="E305" s="10">
        <v>0.25069444444444444</v>
      </c>
      <c r="F305" s="4">
        <v>0</v>
      </c>
    </row>
    <row r="306" spans="1:9" ht="13" x14ac:dyDescent="0.15">
      <c r="A306" s="4" t="s">
        <v>40</v>
      </c>
      <c r="B306" s="4" t="s">
        <v>48</v>
      </c>
      <c r="C306" s="4">
        <v>0</v>
      </c>
      <c r="E306" s="10">
        <v>0.25069444444444444</v>
      </c>
      <c r="F306" s="4">
        <v>0</v>
      </c>
    </row>
    <row r="307" spans="1:9" ht="13" x14ac:dyDescent="0.15">
      <c r="A307" s="4" t="s">
        <v>40</v>
      </c>
      <c r="B307" s="4" t="s">
        <v>48</v>
      </c>
      <c r="C307" s="4">
        <v>1</v>
      </c>
      <c r="E307" s="10">
        <v>0.25069444444444444</v>
      </c>
      <c r="F307" s="4">
        <v>1</v>
      </c>
    </row>
    <row r="308" spans="1:9" ht="13" x14ac:dyDescent="0.15">
      <c r="A308" s="4" t="s">
        <v>40</v>
      </c>
      <c r="B308" s="4" t="s">
        <v>48</v>
      </c>
      <c r="C308" s="4">
        <v>0</v>
      </c>
      <c r="E308" s="10">
        <v>0.25069444444444444</v>
      </c>
      <c r="F308" s="4">
        <v>0</v>
      </c>
    </row>
    <row r="309" spans="1:9" ht="13" x14ac:dyDescent="0.15">
      <c r="A309" s="4" t="s">
        <v>40</v>
      </c>
      <c r="B309" s="4" t="s">
        <v>48</v>
      </c>
      <c r="C309" s="4">
        <v>0</v>
      </c>
      <c r="E309" s="10">
        <v>0.25138888888888888</v>
      </c>
      <c r="F309" s="4">
        <v>0</v>
      </c>
    </row>
    <row r="310" spans="1:9" ht="13" x14ac:dyDescent="0.15">
      <c r="A310" s="4" t="s">
        <v>40</v>
      </c>
      <c r="B310" s="4" t="s">
        <v>48</v>
      </c>
      <c r="C310" s="4">
        <v>0</v>
      </c>
      <c r="E310" s="10">
        <v>0.25138888888888888</v>
      </c>
      <c r="F310" s="4">
        <v>0</v>
      </c>
    </row>
    <row r="311" spans="1:9" ht="13" x14ac:dyDescent="0.15">
      <c r="A311" s="4" t="s">
        <v>40</v>
      </c>
      <c r="B311" s="4" t="s">
        <v>48</v>
      </c>
      <c r="C311" s="4">
        <v>0</v>
      </c>
      <c r="E311" s="10">
        <v>0.25138888888888888</v>
      </c>
      <c r="F311" s="4">
        <v>0</v>
      </c>
    </row>
    <row r="312" spans="1:9" ht="13" x14ac:dyDescent="0.15">
      <c r="A312" s="4" t="s">
        <v>40</v>
      </c>
      <c r="B312" s="4" t="s">
        <v>48</v>
      </c>
      <c r="C312" s="4">
        <v>0</v>
      </c>
      <c r="E312" s="10">
        <v>0.25138888888888888</v>
      </c>
      <c r="F312" s="4">
        <v>0</v>
      </c>
    </row>
    <row r="313" spans="1:9" ht="13" x14ac:dyDescent="0.15">
      <c r="A313" s="4" t="s">
        <v>40</v>
      </c>
      <c r="B313" s="4" t="s">
        <v>48</v>
      </c>
      <c r="C313" s="4">
        <v>0</v>
      </c>
      <c r="E313" s="10">
        <v>0.25138888888888888</v>
      </c>
      <c r="F313" s="4">
        <v>0</v>
      </c>
    </row>
    <row r="314" spans="1:9" ht="13" x14ac:dyDescent="0.15">
      <c r="A314" s="4" t="s">
        <v>40</v>
      </c>
      <c r="B314" s="4" t="s">
        <v>48</v>
      </c>
      <c r="C314" s="4">
        <v>0</v>
      </c>
      <c r="E314" s="10">
        <v>0.25138888888888888</v>
      </c>
      <c r="F314" s="4">
        <v>0</v>
      </c>
    </row>
    <row r="315" spans="1:9" ht="14" x14ac:dyDescent="0.15">
      <c r="A315" s="4" t="s">
        <v>40</v>
      </c>
      <c r="B315" s="4" t="s">
        <v>37</v>
      </c>
      <c r="C315" s="4">
        <v>0</v>
      </c>
      <c r="D315" s="9">
        <v>45873</v>
      </c>
      <c r="E315" s="10">
        <v>0.25138888888888888</v>
      </c>
      <c r="F315" s="4">
        <v>1</v>
      </c>
      <c r="H315" s="11" t="s">
        <v>39</v>
      </c>
    </row>
    <row r="316" spans="1:9" ht="13" x14ac:dyDescent="0.15">
      <c r="A316" s="4" t="s">
        <v>40</v>
      </c>
      <c r="B316" s="4" t="s">
        <v>41</v>
      </c>
      <c r="C316" s="4">
        <v>0</v>
      </c>
      <c r="E316" s="10">
        <v>0.25208333333333333</v>
      </c>
      <c r="F316" s="4">
        <v>1</v>
      </c>
      <c r="I316" s="4"/>
    </row>
    <row r="317" spans="1:9" ht="13" x14ac:dyDescent="0.15">
      <c r="A317" s="4" t="s">
        <v>40</v>
      </c>
      <c r="B317" s="4" t="s">
        <v>41</v>
      </c>
      <c r="E317" s="10">
        <v>0.25208333333333333</v>
      </c>
      <c r="F317" s="4">
        <v>1</v>
      </c>
    </row>
    <row r="318" spans="1:9" ht="13" x14ac:dyDescent="0.15">
      <c r="A318" s="4" t="s">
        <v>40</v>
      </c>
      <c r="B318" s="4" t="s">
        <v>41</v>
      </c>
      <c r="E318" s="10">
        <v>0.25208333333333333</v>
      </c>
      <c r="F318" s="4">
        <v>0</v>
      </c>
    </row>
    <row r="319" spans="1:9" ht="13" x14ac:dyDescent="0.15">
      <c r="A319" s="4" t="s">
        <v>40</v>
      </c>
      <c r="B319" s="4" t="s">
        <v>48</v>
      </c>
      <c r="C319" s="4">
        <v>0</v>
      </c>
      <c r="E319" s="10">
        <v>0.25208333333333333</v>
      </c>
      <c r="F319" s="4">
        <v>0</v>
      </c>
    </row>
    <row r="320" spans="1:9" ht="13" x14ac:dyDescent="0.15">
      <c r="A320" s="4" t="s">
        <v>40</v>
      </c>
      <c r="B320" s="4" t="s">
        <v>48</v>
      </c>
      <c r="C320" s="4">
        <v>0</v>
      </c>
      <c r="E320" s="10">
        <v>0.25208333333333333</v>
      </c>
      <c r="F320" s="4">
        <v>0</v>
      </c>
    </row>
    <row r="321" spans="1:9" ht="13" x14ac:dyDescent="0.15">
      <c r="A321" s="4" t="s">
        <v>40</v>
      </c>
      <c r="B321" s="4" t="s">
        <v>48</v>
      </c>
      <c r="C321" s="4">
        <v>0</v>
      </c>
      <c r="E321" s="10">
        <v>0.25208333333333333</v>
      </c>
      <c r="F321" s="4">
        <v>0</v>
      </c>
    </row>
    <row r="322" spans="1:9" ht="13" x14ac:dyDescent="0.15">
      <c r="A322" s="4" t="s">
        <v>40</v>
      </c>
      <c r="B322" s="4" t="s">
        <v>48</v>
      </c>
      <c r="C322" s="4">
        <v>0</v>
      </c>
      <c r="E322" s="10">
        <v>0.25208333333333333</v>
      </c>
      <c r="F322" s="4">
        <v>0</v>
      </c>
    </row>
    <row r="323" spans="1:9" ht="13" x14ac:dyDescent="0.15">
      <c r="A323" s="4" t="s">
        <v>40</v>
      </c>
      <c r="B323" s="4" t="s">
        <v>48</v>
      </c>
      <c r="C323" s="4">
        <v>0</v>
      </c>
      <c r="E323" s="10">
        <v>0.25208333333333333</v>
      </c>
      <c r="F323" s="4">
        <v>0</v>
      </c>
    </row>
    <row r="324" spans="1:9" ht="13" x14ac:dyDescent="0.15">
      <c r="A324" s="4" t="s">
        <v>40</v>
      </c>
      <c r="B324" s="4" t="s">
        <v>48</v>
      </c>
      <c r="C324" s="4">
        <v>0</v>
      </c>
      <c r="E324" s="10">
        <v>0.25208333333333333</v>
      </c>
      <c r="F324" s="4">
        <v>0</v>
      </c>
    </row>
    <row r="325" spans="1:9" ht="13" x14ac:dyDescent="0.15">
      <c r="A325" s="4" t="s">
        <v>40</v>
      </c>
      <c r="B325" s="4" t="s">
        <v>48</v>
      </c>
      <c r="C325" s="4">
        <v>0</v>
      </c>
      <c r="E325" s="10">
        <v>0.25208333333333333</v>
      </c>
      <c r="F325" s="4">
        <v>0</v>
      </c>
    </row>
    <row r="326" spans="1:9" ht="14" x14ac:dyDescent="0.15">
      <c r="A326" s="4" t="s">
        <v>40</v>
      </c>
      <c r="B326" s="4" t="s">
        <v>37</v>
      </c>
      <c r="C326" s="4">
        <v>0</v>
      </c>
      <c r="D326" s="9">
        <v>45871</v>
      </c>
      <c r="E326" s="10">
        <v>0.25208333333333333</v>
      </c>
      <c r="F326" s="4">
        <v>1</v>
      </c>
      <c r="H326" s="11" t="s">
        <v>39</v>
      </c>
    </row>
    <row r="327" spans="1:9" ht="14" x14ac:dyDescent="0.15">
      <c r="A327" s="4" t="s">
        <v>40</v>
      </c>
      <c r="B327" s="4" t="s">
        <v>37</v>
      </c>
      <c r="C327" s="4">
        <v>0</v>
      </c>
      <c r="D327" s="9">
        <v>45874</v>
      </c>
      <c r="E327" s="10">
        <v>0.25208333333333333</v>
      </c>
      <c r="F327" s="4">
        <v>1</v>
      </c>
      <c r="H327" s="11" t="s">
        <v>39</v>
      </c>
    </row>
    <row r="328" spans="1:9" ht="13" x14ac:dyDescent="0.15">
      <c r="A328" s="4" t="s">
        <v>40</v>
      </c>
      <c r="B328" s="4" t="s">
        <v>48</v>
      </c>
      <c r="C328" s="4">
        <v>0</v>
      </c>
      <c r="E328" s="10">
        <v>0.25277777777777777</v>
      </c>
      <c r="F328" s="4">
        <v>0</v>
      </c>
    </row>
    <row r="329" spans="1:9" ht="13" x14ac:dyDescent="0.15">
      <c r="A329" s="4" t="s">
        <v>40</v>
      </c>
      <c r="B329" s="4" t="s">
        <v>48</v>
      </c>
      <c r="C329" s="4">
        <v>0</v>
      </c>
      <c r="E329" s="10">
        <v>0.25277777777777777</v>
      </c>
      <c r="F329" s="4">
        <v>0</v>
      </c>
    </row>
    <row r="330" spans="1:9" ht="13" x14ac:dyDescent="0.15">
      <c r="A330" s="4" t="s">
        <v>40</v>
      </c>
      <c r="B330" s="4" t="s">
        <v>48</v>
      </c>
      <c r="C330" s="4">
        <v>0</v>
      </c>
      <c r="E330" s="10">
        <v>0.25277777777777777</v>
      </c>
      <c r="F330" s="4">
        <v>0</v>
      </c>
    </row>
    <row r="331" spans="1:9" ht="13" x14ac:dyDescent="0.15">
      <c r="A331" s="4" t="s">
        <v>40</v>
      </c>
      <c r="B331" s="4" t="s">
        <v>48</v>
      </c>
      <c r="C331" s="4">
        <v>0</v>
      </c>
      <c r="E331" s="10">
        <v>0.25277777777777777</v>
      </c>
      <c r="F331" s="4">
        <v>0</v>
      </c>
    </row>
    <row r="332" spans="1:9" ht="13" x14ac:dyDescent="0.15">
      <c r="A332" s="4" t="s">
        <v>40</v>
      </c>
      <c r="B332" s="4" t="s">
        <v>48</v>
      </c>
      <c r="C332" s="4">
        <v>0</v>
      </c>
      <c r="E332" s="10">
        <v>0.25277777777777777</v>
      </c>
      <c r="F332" s="4">
        <v>0</v>
      </c>
    </row>
    <row r="333" spans="1:9" ht="13" x14ac:dyDescent="0.15">
      <c r="A333" s="4" t="s">
        <v>40</v>
      </c>
      <c r="B333" s="4" t="s">
        <v>48</v>
      </c>
      <c r="C333" s="4">
        <v>0</v>
      </c>
      <c r="E333" s="10">
        <v>0.25277777777777777</v>
      </c>
      <c r="F333" s="4">
        <v>0</v>
      </c>
    </row>
    <row r="334" spans="1:9" ht="13" x14ac:dyDescent="0.15">
      <c r="A334" s="4" t="s">
        <v>40</v>
      </c>
      <c r="B334" s="4" t="s">
        <v>37</v>
      </c>
      <c r="C334" s="4">
        <v>0</v>
      </c>
      <c r="E334" s="10">
        <v>0.25277777777777777</v>
      </c>
      <c r="F334" s="4">
        <v>0</v>
      </c>
    </row>
    <row r="335" spans="1:9" ht="13" x14ac:dyDescent="0.15">
      <c r="A335" s="4" t="s">
        <v>40</v>
      </c>
      <c r="B335" s="4" t="s">
        <v>41</v>
      </c>
      <c r="C335" s="4"/>
      <c r="D335" s="9"/>
      <c r="E335" s="10">
        <v>0.29166666666666669</v>
      </c>
      <c r="F335" s="4">
        <v>0</v>
      </c>
      <c r="G335" s="7"/>
      <c r="H335" s="7"/>
      <c r="I335" s="4"/>
    </row>
    <row r="336" spans="1:9" ht="13" x14ac:dyDescent="0.15">
      <c r="A336" s="4" t="s">
        <v>40</v>
      </c>
      <c r="B336" s="4" t="s">
        <v>41</v>
      </c>
      <c r="C336" s="4">
        <v>0</v>
      </c>
      <c r="E336" s="10">
        <v>0.29166666666666669</v>
      </c>
      <c r="F336" s="4">
        <v>0</v>
      </c>
      <c r="I336" s="4"/>
    </row>
    <row r="337" spans="1:6" ht="13" x14ac:dyDescent="0.15">
      <c r="A337" s="4" t="s">
        <v>40</v>
      </c>
      <c r="B337" s="4" t="s">
        <v>41</v>
      </c>
      <c r="E337" s="10">
        <v>0.29166666666666669</v>
      </c>
      <c r="F337" s="4">
        <v>0</v>
      </c>
    </row>
    <row r="338" spans="1:6" ht="13" x14ac:dyDescent="0.15">
      <c r="A338" s="4" t="s">
        <v>40</v>
      </c>
      <c r="B338" s="4" t="s">
        <v>41</v>
      </c>
      <c r="E338" s="10">
        <v>0.29166666666666669</v>
      </c>
      <c r="F338" s="4">
        <v>0</v>
      </c>
    </row>
    <row r="339" spans="1:6" ht="13" x14ac:dyDescent="0.15">
      <c r="A339" s="4" t="s">
        <v>40</v>
      </c>
      <c r="B339" s="4" t="s">
        <v>48</v>
      </c>
      <c r="C339" s="4">
        <v>0</v>
      </c>
      <c r="E339" s="10">
        <v>0.29166666666666669</v>
      </c>
      <c r="F339" s="4">
        <v>1</v>
      </c>
    </row>
    <row r="340" spans="1:6" ht="13" x14ac:dyDescent="0.15">
      <c r="A340" s="4" t="s">
        <v>40</v>
      </c>
      <c r="B340" s="4" t="s">
        <v>48</v>
      </c>
      <c r="C340" s="4">
        <v>0</v>
      </c>
      <c r="E340" s="10">
        <v>0.29166666666666669</v>
      </c>
      <c r="F340" s="4">
        <v>1</v>
      </c>
    </row>
    <row r="341" spans="1:6" ht="13" x14ac:dyDescent="0.15">
      <c r="A341" s="4" t="s">
        <v>40</v>
      </c>
      <c r="B341" s="4" t="s">
        <v>48</v>
      </c>
      <c r="C341" s="4">
        <v>1</v>
      </c>
      <c r="E341" s="10">
        <v>0.29166666666666669</v>
      </c>
      <c r="F341" s="4">
        <v>1</v>
      </c>
    </row>
    <row r="342" spans="1:6" ht="13" x14ac:dyDescent="0.15">
      <c r="A342" s="4" t="s">
        <v>40</v>
      </c>
      <c r="B342" s="4" t="s">
        <v>48</v>
      </c>
      <c r="C342" s="4">
        <v>0</v>
      </c>
      <c r="E342" s="10">
        <v>0.29236111111111113</v>
      </c>
      <c r="F342" s="4">
        <v>0</v>
      </c>
    </row>
    <row r="343" spans="1:6" ht="13" x14ac:dyDescent="0.15">
      <c r="A343" s="4" t="s">
        <v>40</v>
      </c>
      <c r="B343" s="4" t="s">
        <v>48</v>
      </c>
      <c r="C343" s="4">
        <v>0</v>
      </c>
      <c r="E343" s="10">
        <v>0.29236111111111113</v>
      </c>
      <c r="F343" s="4">
        <v>0</v>
      </c>
    </row>
    <row r="344" spans="1:6" ht="13" x14ac:dyDescent="0.15">
      <c r="A344" s="4" t="s">
        <v>40</v>
      </c>
      <c r="B344" s="4" t="s">
        <v>48</v>
      </c>
      <c r="C344" s="4">
        <v>0</v>
      </c>
      <c r="E344" s="10">
        <v>0.29305555555555557</v>
      </c>
      <c r="F344" s="4">
        <v>1</v>
      </c>
    </row>
    <row r="345" spans="1:6" ht="13" x14ac:dyDescent="0.15">
      <c r="A345" s="4" t="s">
        <v>40</v>
      </c>
      <c r="B345" s="4" t="s">
        <v>48</v>
      </c>
      <c r="C345" s="4">
        <v>0</v>
      </c>
      <c r="E345" s="10">
        <v>0.29305555555555557</v>
      </c>
      <c r="F345" s="4">
        <v>0</v>
      </c>
    </row>
    <row r="346" spans="1:6" ht="13" x14ac:dyDescent="0.15">
      <c r="A346" s="4" t="s">
        <v>40</v>
      </c>
      <c r="B346" s="4" t="s">
        <v>48</v>
      </c>
      <c r="C346" s="4">
        <v>0</v>
      </c>
      <c r="E346" s="10">
        <v>0.29305555555555557</v>
      </c>
      <c r="F346" s="4">
        <v>0</v>
      </c>
    </row>
    <row r="347" spans="1:6" ht="13" x14ac:dyDescent="0.15">
      <c r="A347" s="4" t="s">
        <v>40</v>
      </c>
      <c r="B347" s="4" t="s">
        <v>48</v>
      </c>
      <c r="C347" s="4">
        <v>0</v>
      </c>
      <c r="E347" s="10">
        <v>0.29305555555555557</v>
      </c>
      <c r="F347" s="4">
        <v>0</v>
      </c>
    </row>
    <row r="348" spans="1:6" ht="13" x14ac:dyDescent="0.15">
      <c r="A348" s="4" t="s">
        <v>40</v>
      </c>
      <c r="B348" s="4" t="s">
        <v>48</v>
      </c>
      <c r="C348" s="4">
        <v>0</v>
      </c>
      <c r="E348" s="10">
        <v>0.29375000000000001</v>
      </c>
      <c r="F348" s="4">
        <v>0</v>
      </c>
    </row>
    <row r="349" spans="1:6" ht="13" x14ac:dyDescent="0.15">
      <c r="A349" s="4" t="s">
        <v>40</v>
      </c>
      <c r="B349" s="4" t="s">
        <v>48</v>
      </c>
      <c r="C349" s="4">
        <v>0</v>
      </c>
      <c r="E349" s="10">
        <v>0.29375000000000001</v>
      </c>
      <c r="F349" s="4">
        <v>0</v>
      </c>
    </row>
    <row r="350" spans="1:6" ht="13" x14ac:dyDescent="0.15">
      <c r="A350" s="4" t="s">
        <v>40</v>
      </c>
      <c r="B350" s="4" t="s">
        <v>48</v>
      </c>
      <c r="C350" s="4">
        <v>0</v>
      </c>
      <c r="E350" s="10">
        <v>0.29444444444444445</v>
      </c>
      <c r="F350" s="4">
        <v>0</v>
      </c>
    </row>
    <row r="351" spans="1:6" ht="13" x14ac:dyDescent="0.15">
      <c r="A351" s="4" t="s">
        <v>40</v>
      </c>
      <c r="B351" s="4" t="s">
        <v>48</v>
      </c>
      <c r="C351" s="4">
        <v>0</v>
      </c>
      <c r="E351" s="10">
        <v>0.29444444444444445</v>
      </c>
      <c r="F351" s="4">
        <v>0</v>
      </c>
    </row>
    <row r="352" spans="1:6" ht="13" x14ac:dyDescent="0.15">
      <c r="A352" s="4" t="s">
        <v>40</v>
      </c>
      <c r="B352" s="4" t="s">
        <v>48</v>
      </c>
      <c r="C352" s="4">
        <v>0</v>
      </c>
      <c r="E352" s="10">
        <v>0.29444444444444445</v>
      </c>
      <c r="F352" s="4">
        <v>0</v>
      </c>
    </row>
    <row r="353" spans="1:9" ht="13" x14ac:dyDescent="0.15">
      <c r="A353" s="4" t="s">
        <v>40</v>
      </c>
      <c r="B353" s="4" t="s">
        <v>41</v>
      </c>
      <c r="C353" s="4"/>
      <c r="D353" s="9"/>
      <c r="E353" s="10">
        <v>0.33333333333333331</v>
      </c>
      <c r="F353" s="4">
        <v>0</v>
      </c>
      <c r="G353" s="7"/>
      <c r="H353" s="7"/>
      <c r="I353" s="4"/>
    </row>
    <row r="354" spans="1:9" ht="13" x14ac:dyDescent="0.15">
      <c r="A354" s="25" t="s">
        <v>40</v>
      </c>
      <c r="B354" s="25" t="s">
        <v>41</v>
      </c>
      <c r="C354" s="25">
        <v>0</v>
      </c>
      <c r="D354" s="25"/>
      <c r="E354" s="30">
        <v>0.33333333333333331</v>
      </c>
      <c r="F354" s="25">
        <v>0</v>
      </c>
      <c r="G354" s="25"/>
      <c r="H354" s="25"/>
      <c r="I354" s="25"/>
    </row>
    <row r="355" spans="1:9" ht="13" x14ac:dyDescent="0.15">
      <c r="A355" s="4" t="s">
        <v>40</v>
      </c>
      <c r="B355" s="4" t="s">
        <v>41</v>
      </c>
      <c r="E355" s="10">
        <v>0.33333333333333331</v>
      </c>
      <c r="F355" s="4">
        <v>0</v>
      </c>
    </row>
    <row r="356" spans="1:9" ht="13" x14ac:dyDescent="0.15">
      <c r="A356" s="4" t="s">
        <v>40</v>
      </c>
      <c r="B356" s="4" t="s">
        <v>41</v>
      </c>
      <c r="E356" s="10">
        <v>0.33333333333333331</v>
      </c>
      <c r="F356" s="4">
        <v>0</v>
      </c>
    </row>
    <row r="357" spans="1:9" ht="13" x14ac:dyDescent="0.15">
      <c r="A357" s="4" t="s">
        <v>40</v>
      </c>
      <c r="B357" s="4" t="s">
        <v>48</v>
      </c>
      <c r="C357" s="4">
        <v>0</v>
      </c>
      <c r="E357" s="10">
        <v>0.33333333333333331</v>
      </c>
      <c r="F357" s="4">
        <v>1</v>
      </c>
    </row>
    <row r="358" spans="1:9" ht="13" x14ac:dyDescent="0.15">
      <c r="A358" s="4" t="s">
        <v>40</v>
      </c>
      <c r="B358" s="4" t="s">
        <v>48</v>
      </c>
      <c r="C358" s="4">
        <v>1</v>
      </c>
      <c r="E358" s="10">
        <v>0.33333333333333331</v>
      </c>
      <c r="F358" s="4">
        <v>1</v>
      </c>
    </row>
    <row r="359" spans="1:9" ht="13" x14ac:dyDescent="0.15">
      <c r="A359" s="4" t="s">
        <v>40</v>
      </c>
      <c r="B359" s="4" t="s">
        <v>48</v>
      </c>
      <c r="C359" s="4">
        <v>0</v>
      </c>
      <c r="E359" s="10">
        <v>0.33402777777777776</v>
      </c>
      <c r="F359" s="4">
        <v>0</v>
      </c>
    </row>
    <row r="360" spans="1:9" ht="13" x14ac:dyDescent="0.15">
      <c r="A360" s="4" t="s">
        <v>40</v>
      </c>
      <c r="B360" s="4" t="s">
        <v>48</v>
      </c>
      <c r="C360" s="4">
        <v>0</v>
      </c>
      <c r="E360" s="10">
        <v>0.33402777777777776</v>
      </c>
      <c r="F360" s="4">
        <v>0</v>
      </c>
    </row>
    <row r="361" spans="1:9" ht="13" x14ac:dyDescent="0.15">
      <c r="A361" s="4" t="s">
        <v>40</v>
      </c>
      <c r="B361" s="4" t="s">
        <v>48</v>
      </c>
      <c r="C361" s="4">
        <v>0</v>
      </c>
      <c r="E361" s="10">
        <v>0.3347222222222222</v>
      </c>
      <c r="F361" s="4">
        <v>0</v>
      </c>
    </row>
    <row r="362" spans="1:9" ht="13" x14ac:dyDescent="0.15">
      <c r="A362" s="4" t="s">
        <v>40</v>
      </c>
      <c r="B362" s="4" t="s">
        <v>48</v>
      </c>
      <c r="C362" s="4">
        <v>0</v>
      </c>
      <c r="E362" s="10">
        <v>0.33541666666666664</v>
      </c>
      <c r="F362" s="4">
        <v>0</v>
      </c>
    </row>
    <row r="363" spans="1:9" ht="13" x14ac:dyDescent="0.15">
      <c r="A363" s="4" t="s">
        <v>40</v>
      </c>
      <c r="B363" s="4" t="s">
        <v>48</v>
      </c>
      <c r="C363" s="4">
        <v>0</v>
      </c>
      <c r="E363" s="10">
        <v>0.33611111111111114</v>
      </c>
      <c r="F363" s="4">
        <v>1</v>
      </c>
    </row>
    <row r="364" spans="1:9" ht="13" x14ac:dyDescent="0.15">
      <c r="A364" s="4" t="s">
        <v>40</v>
      </c>
      <c r="B364" s="4" t="s">
        <v>48</v>
      </c>
      <c r="C364" s="4">
        <v>0</v>
      </c>
      <c r="E364" s="10">
        <v>0.33611111111111114</v>
      </c>
      <c r="F364" s="4">
        <v>0</v>
      </c>
    </row>
    <row r="365" spans="1:9" ht="13" x14ac:dyDescent="0.15">
      <c r="A365" s="4" t="s">
        <v>40</v>
      </c>
      <c r="B365" s="4" t="s">
        <v>48</v>
      </c>
      <c r="C365" s="4">
        <v>0</v>
      </c>
      <c r="E365" s="10">
        <v>0.33611111111111114</v>
      </c>
      <c r="F365" s="4">
        <v>0</v>
      </c>
    </row>
    <row r="366" spans="1:9" ht="13" x14ac:dyDescent="0.15">
      <c r="A366" s="4" t="s">
        <v>40</v>
      </c>
      <c r="B366" s="4" t="s">
        <v>41</v>
      </c>
      <c r="C366" s="4"/>
      <c r="D366" s="9"/>
      <c r="E366" s="10">
        <v>0.375</v>
      </c>
      <c r="F366" s="4">
        <v>0</v>
      </c>
      <c r="G366" s="7"/>
      <c r="H366" s="7"/>
      <c r="I366" s="4"/>
    </row>
    <row r="367" spans="1:9" ht="13" x14ac:dyDescent="0.15">
      <c r="A367" s="4" t="s">
        <v>40</v>
      </c>
      <c r="B367" s="4" t="s">
        <v>41</v>
      </c>
      <c r="C367" s="4">
        <v>0</v>
      </c>
      <c r="E367" s="10">
        <v>0.375</v>
      </c>
      <c r="F367" s="4">
        <v>0</v>
      </c>
      <c r="I367" s="4"/>
    </row>
    <row r="368" spans="1:9" ht="13" x14ac:dyDescent="0.15">
      <c r="A368" s="4" t="s">
        <v>40</v>
      </c>
      <c r="B368" s="4" t="s">
        <v>41</v>
      </c>
      <c r="E368" s="10">
        <v>0.375</v>
      </c>
      <c r="F368" s="4">
        <v>0</v>
      </c>
    </row>
    <row r="369" spans="1:9" ht="13" x14ac:dyDescent="0.15">
      <c r="A369" s="4" t="s">
        <v>40</v>
      </c>
      <c r="B369" s="4" t="s">
        <v>41</v>
      </c>
      <c r="E369" s="10">
        <v>0.375</v>
      </c>
      <c r="F369" s="4">
        <v>0</v>
      </c>
    </row>
    <row r="370" spans="1:9" ht="13" x14ac:dyDescent="0.15">
      <c r="A370" s="4" t="s">
        <v>40</v>
      </c>
      <c r="B370" s="4" t="s">
        <v>48</v>
      </c>
      <c r="C370" s="4">
        <v>0</v>
      </c>
      <c r="E370" s="10">
        <v>0.375</v>
      </c>
      <c r="F370" s="4">
        <v>1</v>
      </c>
    </row>
    <row r="371" spans="1:9" ht="13" x14ac:dyDescent="0.15">
      <c r="A371" s="4" t="s">
        <v>40</v>
      </c>
      <c r="B371" s="4" t="s">
        <v>48</v>
      </c>
      <c r="C371" s="4">
        <v>0</v>
      </c>
      <c r="E371" s="10">
        <v>0.37569444444444444</v>
      </c>
      <c r="F371" s="4">
        <v>0</v>
      </c>
    </row>
    <row r="372" spans="1:9" ht="13" x14ac:dyDescent="0.15">
      <c r="A372" s="4" t="s">
        <v>40</v>
      </c>
      <c r="B372" s="4" t="s">
        <v>41</v>
      </c>
      <c r="C372" s="4"/>
      <c r="D372" s="9"/>
      <c r="E372" s="10">
        <v>0.37708333333333333</v>
      </c>
      <c r="F372" s="4">
        <v>1</v>
      </c>
      <c r="G372" s="7"/>
      <c r="H372" s="7"/>
      <c r="I372" s="4"/>
    </row>
    <row r="373" spans="1:9" ht="13" x14ac:dyDescent="0.15">
      <c r="A373" s="4" t="s">
        <v>40</v>
      </c>
      <c r="B373" s="4" t="s">
        <v>48</v>
      </c>
      <c r="C373" s="4">
        <v>0</v>
      </c>
      <c r="E373" s="10">
        <v>0.37708333333333333</v>
      </c>
      <c r="F373" s="4">
        <v>0</v>
      </c>
    </row>
    <row r="374" spans="1:9" ht="13" x14ac:dyDescent="0.15">
      <c r="A374" s="4" t="s">
        <v>40</v>
      </c>
      <c r="B374" s="4" t="s">
        <v>48</v>
      </c>
      <c r="C374" s="4">
        <v>0</v>
      </c>
      <c r="E374" s="10">
        <v>0.37777777777777777</v>
      </c>
      <c r="F374" s="4">
        <v>0</v>
      </c>
    </row>
    <row r="375" spans="1:9" ht="13" x14ac:dyDescent="0.15">
      <c r="A375" s="4" t="s">
        <v>40</v>
      </c>
      <c r="B375" s="4" t="s">
        <v>41</v>
      </c>
      <c r="C375" s="4">
        <v>0</v>
      </c>
      <c r="D375" s="9"/>
      <c r="E375" s="10">
        <v>0.41666666666666669</v>
      </c>
      <c r="F375" s="4">
        <v>0</v>
      </c>
      <c r="G375" s="7"/>
      <c r="H375" s="7"/>
      <c r="I375" s="4"/>
    </row>
    <row r="376" spans="1:9" ht="13" x14ac:dyDescent="0.15">
      <c r="A376" s="4" t="s">
        <v>40</v>
      </c>
      <c r="B376" s="4" t="s">
        <v>41</v>
      </c>
      <c r="C376" s="4"/>
      <c r="E376" s="10">
        <v>0.41666666666666669</v>
      </c>
      <c r="F376" s="4">
        <v>0</v>
      </c>
      <c r="I376" s="4"/>
    </row>
    <row r="377" spans="1:9" ht="13" x14ac:dyDescent="0.15">
      <c r="A377" s="4" t="s">
        <v>40</v>
      </c>
      <c r="B377" s="4" t="s">
        <v>41</v>
      </c>
      <c r="E377" s="10">
        <v>0.41666666666666669</v>
      </c>
      <c r="F377" s="4">
        <v>0</v>
      </c>
    </row>
    <row r="378" spans="1:9" ht="13" x14ac:dyDescent="0.15">
      <c r="A378" s="4" t="s">
        <v>40</v>
      </c>
      <c r="B378" s="4" t="s">
        <v>41</v>
      </c>
      <c r="E378" s="10">
        <v>0.41666666666666669</v>
      </c>
      <c r="F378" s="4">
        <v>0</v>
      </c>
    </row>
    <row r="379" spans="1:9" ht="13" x14ac:dyDescent="0.15">
      <c r="A379" s="4" t="s">
        <v>40</v>
      </c>
      <c r="B379" s="4" t="s">
        <v>48</v>
      </c>
      <c r="C379" s="4">
        <v>0</v>
      </c>
      <c r="E379" s="10">
        <v>0.41666666666666669</v>
      </c>
      <c r="F379" s="4">
        <v>1</v>
      </c>
    </row>
    <row r="380" spans="1:9" ht="13" x14ac:dyDescent="0.15">
      <c r="A380" s="6" t="s">
        <v>20</v>
      </c>
      <c r="B380" s="4" t="s">
        <v>37</v>
      </c>
      <c r="C380" s="4">
        <v>0</v>
      </c>
      <c r="E380" s="10">
        <v>0.41736111111111113</v>
      </c>
      <c r="F380" s="4">
        <v>1</v>
      </c>
      <c r="I380" s="4">
        <v>3</v>
      </c>
    </row>
    <row r="381" spans="1:9" ht="13" x14ac:dyDescent="0.15">
      <c r="A381" s="4" t="s">
        <v>40</v>
      </c>
      <c r="B381" s="4" t="s">
        <v>48</v>
      </c>
      <c r="C381" s="4">
        <v>0</v>
      </c>
      <c r="E381" s="10">
        <v>0.41736111111111113</v>
      </c>
      <c r="F381" s="4">
        <v>0</v>
      </c>
    </row>
    <row r="382" spans="1:9" ht="13" x14ac:dyDescent="0.15">
      <c r="A382" s="4" t="s">
        <v>40</v>
      </c>
      <c r="B382" s="4" t="s">
        <v>48</v>
      </c>
      <c r="C382" s="4">
        <v>1</v>
      </c>
      <c r="E382" s="10">
        <v>0.41736111111111113</v>
      </c>
      <c r="F382" s="4">
        <v>1</v>
      </c>
    </row>
    <row r="383" spans="1:9" ht="13" x14ac:dyDescent="0.15">
      <c r="A383" s="4" t="s">
        <v>40</v>
      </c>
      <c r="B383" s="4" t="s">
        <v>48</v>
      </c>
      <c r="C383" s="4">
        <v>0</v>
      </c>
      <c r="E383" s="10">
        <v>0.41805555555555557</v>
      </c>
      <c r="F383" s="4">
        <v>0</v>
      </c>
    </row>
    <row r="384" spans="1:9" ht="13" x14ac:dyDescent="0.15">
      <c r="A384" s="4" t="s">
        <v>40</v>
      </c>
      <c r="B384" s="4" t="s">
        <v>48</v>
      </c>
      <c r="C384" s="4">
        <v>0</v>
      </c>
      <c r="E384" s="10">
        <v>0.41805555555555557</v>
      </c>
      <c r="F384" s="4">
        <v>0</v>
      </c>
    </row>
    <row r="385" spans="1:9" ht="13" x14ac:dyDescent="0.15">
      <c r="A385" s="4" t="s">
        <v>40</v>
      </c>
      <c r="B385" s="4" t="s">
        <v>48</v>
      </c>
      <c r="C385" s="4">
        <v>0</v>
      </c>
      <c r="E385" s="10">
        <v>0.41944444444444445</v>
      </c>
      <c r="F385" s="4">
        <v>0</v>
      </c>
    </row>
    <row r="386" spans="1:9" ht="13" x14ac:dyDescent="0.15">
      <c r="A386" s="4" t="s">
        <v>40</v>
      </c>
      <c r="B386" s="4" t="s">
        <v>41</v>
      </c>
      <c r="C386" s="4">
        <v>0</v>
      </c>
      <c r="D386" s="9"/>
      <c r="E386" s="10">
        <v>0.45833333333333331</v>
      </c>
      <c r="F386" s="4">
        <v>0</v>
      </c>
      <c r="G386" s="7"/>
      <c r="H386" s="7"/>
      <c r="I386" s="4"/>
    </row>
    <row r="387" spans="1:9" ht="13" x14ac:dyDescent="0.15">
      <c r="A387" s="4" t="s">
        <v>40</v>
      </c>
      <c r="B387" s="4" t="s">
        <v>41</v>
      </c>
      <c r="C387" s="4"/>
      <c r="E387" s="10">
        <v>0.45833333333333331</v>
      </c>
      <c r="F387" s="4">
        <v>0</v>
      </c>
      <c r="I387" s="4"/>
    </row>
    <row r="388" spans="1:9" ht="13" x14ac:dyDescent="0.15">
      <c r="A388" s="4" t="s">
        <v>40</v>
      </c>
      <c r="B388" s="4" t="s">
        <v>41</v>
      </c>
      <c r="E388" s="10">
        <v>0.45833333333333331</v>
      </c>
      <c r="F388" s="4">
        <v>0</v>
      </c>
    </row>
    <row r="389" spans="1:9" ht="13" x14ac:dyDescent="0.15">
      <c r="A389" s="4" t="s">
        <v>40</v>
      </c>
      <c r="B389" s="4" t="s">
        <v>41</v>
      </c>
      <c r="E389" s="10">
        <v>0.45833333333333331</v>
      </c>
      <c r="F389" s="4">
        <v>0</v>
      </c>
    </row>
    <row r="390" spans="1:9" ht="13" x14ac:dyDescent="0.15">
      <c r="A390" s="4" t="s">
        <v>40</v>
      </c>
      <c r="B390" s="4" t="s">
        <v>48</v>
      </c>
      <c r="C390" s="4">
        <v>0</v>
      </c>
      <c r="E390" s="10">
        <v>0.46041666666666664</v>
      </c>
      <c r="F390" s="4">
        <v>1</v>
      </c>
    </row>
    <row r="391" spans="1:9" ht="14" x14ac:dyDescent="0.15">
      <c r="A391" s="4" t="s">
        <v>20</v>
      </c>
      <c r="B391" s="4" t="s">
        <v>18</v>
      </c>
      <c r="C391" s="4">
        <v>0</v>
      </c>
      <c r="D391" s="9">
        <v>45813</v>
      </c>
      <c r="E391" s="10">
        <v>0.5</v>
      </c>
      <c r="F391" s="4">
        <v>1</v>
      </c>
      <c r="G391" s="16"/>
      <c r="H391" s="16" t="s">
        <v>21</v>
      </c>
      <c r="I391" s="4">
        <v>1</v>
      </c>
    </row>
    <row r="392" spans="1:9" ht="13" x14ac:dyDescent="0.15">
      <c r="A392" s="4" t="s">
        <v>40</v>
      </c>
      <c r="B392" s="4" t="s">
        <v>41</v>
      </c>
      <c r="C392" s="4">
        <v>0</v>
      </c>
      <c r="D392" s="9"/>
      <c r="E392" s="10">
        <v>0.5</v>
      </c>
      <c r="F392" s="4">
        <v>0</v>
      </c>
      <c r="G392" s="7"/>
      <c r="H392" s="7"/>
      <c r="I392" s="4"/>
    </row>
    <row r="393" spans="1:9" ht="13" x14ac:dyDescent="0.15">
      <c r="A393" s="4" t="s">
        <v>40</v>
      </c>
      <c r="B393" s="4" t="s">
        <v>41</v>
      </c>
      <c r="C393" s="4"/>
      <c r="E393" s="10">
        <v>0.5</v>
      </c>
      <c r="F393" s="4">
        <v>0</v>
      </c>
      <c r="I393" s="4"/>
    </row>
    <row r="394" spans="1:9" ht="13" x14ac:dyDescent="0.15">
      <c r="A394" s="4" t="s">
        <v>40</v>
      </c>
      <c r="B394" s="4" t="s">
        <v>41</v>
      </c>
      <c r="E394" s="10">
        <v>0.5</v>
      </c>
      <c r="F394" s="4">
        <v>0</v>
      </c>
    </row>
    <row r="395" spans="1:9" ht="13" x14ac:dyDescent="0.15">
      <c r="A395" s="4" t="s">
        <v>40</v>
      </c>
      <c r="B395" s="4" t="s">
        <v>41</v>
      </c>
      <c r="E395" s="10">
        <v>0.5</v>
      </c>
      <c r="F395" s="4">
        <v>0</v>
      </c>
    </row>
    <row r="396" spans="1:9" ht="13" x14ac:dyDescent="0.15">
      <c r="A396" s="4" t="s">
        <v>40</v>
      </c>
      <c r="B396" s="4" t="s">
        <v>48</v>
      </c>
      <c r="C396" s="4">
        <v>1</v>
      </c>
      <c r="E396" s="10">
        <v>0.5</v>
      </c>
      <c r="F396" s="4">
        <v>1</v>
      </c>
    </row>
    <row r="397" spans="1:9" ht="13" x14ac:dyDescent="0.15">
      <c r="A397" s="4" t="s">
        <v>40</v>
      </c>
      <c r="B397" s="4" t="s">
        <v>48</v>
      </c>
      <c r="C397" s="4">
        <v>0</v>
      </c>
      <c r="E397" s="10">
        <v>0.50069444444444444</v>
      </c>
      <c r="F397" s="4">
        <v>0</v>
      </c>
    </row>
    <row r="398" spans="1:9" ht="13" x14ac:dyDescent="0.15">
      <c r="A398" s="4" t="s">
        <v>40</v>
      </c>
      <c r="B398" s="4" t="s">
        <v>48</v>
      </c>
      <c r="C398" s="4">
        <v>0</v>
      </c>
      <c r="E398" s="10">
        <v>0.50277777777777777</v>
      </c>
      <c r="F398" s="4">
        <v>0</v>
      </c>
    </row>
    <row r="399" spans="1:9" ht="28" x14ac:dyDescent="0.15">
      <c r="A399" s="6" t="s">
        <v>20</v>
      </c>
      <c r="B399" s="6" t="s">
        <v>23</v>
      </c>
      <c r="C399" s="8">
        <v>0</v>
      </c>
      <c r="D399" s="9">
        <v>45813</v>
      </c>
      <c r="E399" s="10">
        <v>0.54166666666666663</v>
      </c>
      <c r="F399" s="8">
        <v>1</v>
      </c>
      <c r="G399" s="11"/>
      <c r="H399" s="11" t="s">
        <v>29</v>
      </c>
      <c r="I399" s="6">
        <v>2</v>
      </c>
    </row>
    <row r="400" spans="1:9" ht="13" x14ac:dyDescent="0.15">
      <c r="A400" s="6" t="s">
        <v>20</v>
      </c>
      <c r="B400" s="4" t="s">
        <v>18</v>
      </c>
      <c r="C400" s="4">
        <v>0</v>
      </c>
      <c r="E400" s="10">
        <v>0.54166666666666663</v>
      </c>
      <c r="F400" s="4">
        <v>1</v>
      </c>
      <c r="I400" s="4">
        <v>2</v>
      </c>
    </row>
    <row r="401" spans="1:9" ht="13" x14ac:dyDescent="0.15">
      <c r="A401" s="4" t="s">
        <v>40</v>
      </c>
      <c r="B401" s="4" t="s">
        <v>41</v>
      </c>
      <c r="C401" s="4"/>
      <c r="D401" s="9"/>
      <c r="E401" s="10">
        <v>0.54166666666666663</v>
      </c>
      <c r="F401" s="4">
        <v>0</v>
      </c>
      <c r="G401" s="7"/>
      <c r="H401" s="7"/>
      <c r="I401" s="4"/>
    </row>
    <row r="402" spans="1:9" ht="13" x14ac:dyDescent="0.15">
      <c r="A402" s="4" t="s">
        <v>40</v>
      </c>
      <c r="B402" s="4" t="s">
        <v>41</v>
      </c>
      <c r="C402" s="4"/>
      <c r="E402" s="10">
        <v>0.54166666666666663</v>
      </c>
      <c r="F402" s="4">
        <v>0</v>
      </c>
      <c r="I402" s="4"/>
    </row>
    <row r="403" spans="1:9" ht="13" x14ac:dyDescent="0.15">
      <c r="A403" s="4" t="s">
        <v>40</v>
      </c>
      <c r="B403" s="4" t="s">
        <v>41</v>
      </c>
      <c r="E403" s="10">
        <v>0.54166666666666663</v>
      </c>
      <c r="F403" s="4">
        <v>0</v>
      </c>
    </row>
    <row r="404" spans="1:9" ht="13" x14ac:dyDescent="0.15">
      <c r="A404" s="4" t="s">
        <v>40</v>
      </c>
      <c r="B404" s="4" t="s">
        <v>41</v>
      </c>
      <c r="E404" s="10">
        <v>0.54166666666666663</v>
      </c>
      <c r="F404" s="4">
        <v>0</v>
      </c>
    </row>
    <row r="405" spans="1:9" ht="13" x14ac:dyDescent="0.15">
      <c r="A405" s="4" t="s">
        <v>40</v>
      </c>
      <c r="B405" s="4" t="s">
        <v>48</v>
      </c>
      <c r="C405" s="4">
        <v>0</v>
      </c>
      <c r="E405" s="10">
        <v>0.54374999999999996</v>
      </c>
      <c r="F405" s="4">
        <v>1</v>
      </c>
    </row>
    <row r="406" spans="1:9" ht="13" x14ac:dyDescent="0.15">
      <c r="A406" s="4" t="s">
        <v>40</v>
      </c>
      <c r="B406" s="4" t="s">
        <v>41</v>
      </c>
      <c r="C406" s="4"/>
      <c r="D406" s="9"/>
      <c r="E406" s="10">
        <v>0.58333333333333337</v>
      </c>
      <c r="F406" s="4">
        <v>0</v>
      </c>
      <c r="G406" s="7"/>
      <c r="H406" s="7"/>
      <c r="I406" s="4"/>
    </row>
    <row r="407" spans="1:9" ht="13" x14ac:dyDescent="0.15">
      <c r="A407" s="4" t="s">
        <v>40</v>
      </c>
      <c r="B407" s="4" t="s">
        <v>41</v>
      </c>
      <c r="C407" s="4"/>
      <c r="E407" s="10">
        <v>0.58333333333333337</v>
      </c>
      <c r="F407" s="4">
        <v>0</v>
      </c>
      <c r="I407" s="4"/>
    </row>
    <row r="408" spans="1:9" ht="13" x14ac:dyDescent="0.15">
      <c r="A408" s="4" t="s">
        <v>40</v>
      </c>
      <c r="B408" s="4" t="s">
        <v>41</v>
      </c>
      <c r="E408" s="10">
        <v>0.58333333333333337</v>
      </c>
      <c r="F408" s="4">
        <v>0</v>
      </c>
    </row>
    <row r="409" spans="1:9" ht="13" x14ac:dyDescent="0.15">
      <c r="A409" s="4" t="s">
        <v>40</v>
      </c>
      <c r="B409" s="4" t="s">
        <v>41</v>
      </c>
      <c r="E409" s="10">
        <v>0.58333333333333337</v>
      </c>
      <c r="F409" s="4">
        <v>0</v>
      </c>
    </row>
    <row r="410" spans="1:9" ht="28" x14ac:dyDescent="0.15">
      <c r="A410" s="4" t="s">
        <v>40</v>
      </c>
      <c r="B410" s="4" t="s">
        <v>23</v>
      </c>
      <c r="D410" s="9">
        <v>45875</v>
      </c>
      <c r="E410" s="10">
        <v>0.58402777777777781</v>
      </c>
      <c r="F410" s="4">
        <v>1</v>
      </c>
      <c r="H410" s="11" t="s">
        <v>29</v>
      </c>
    </row>
    <row r="411" spans="1:9" ht="13" x14ac:dyDescent="0.15">
      <c r="A411" s="4" t="s">
        <v>40</v>
      </c>
      <c r="B411" s="4" t="s">
        <v>23</v>
      </c>
      <c r="D411" s="9"/>
      <c r="E411" s="10">
        <v>0.58472222222222225</v>
      </c>
      <c r="F411" s="4">
        <v>0</v>
      </c>
    </row>
    <row r="412" spans="1:9" ht="13" x14ac:dyDescent="0.15">
      <c r="A412" s="4" t="s">
        <v>40</v>
      </c>
      <c r="B412" s="4" t="s">
        <v>41</v>
      </c>
      <c r="C412" s="4"/>
      <c r="D412" s="9"/>
      <c r="E412" s="10">
        <v>0.625</v>
      </c>
      <c r="F412" s="4">
        <v>0</v>
      </c>
      <c r="G412" s="7"/>
      <c r="H412" s="7"/>
      <c r="I412" s="4"/>
    </row>
    <row r="413" spans="1:9" ht="13" x14ac:dyDescent="0.15">
      <c r="A413" s="4" t="s">
        <v>40</v>
      </c>
      <c r="B413" s="4" t="s">
        <v>41</v>
      </c>
      <c r="C413" s="4"/>
      <c r="E413" s="10">
        <v>0.625</v>
      </c>
      <c r="F413" s="4">
        <v>0</v>
      </c>
      <c r="I413" s="4"/>
    </row>
    <row r="414" spans="1:9" ht="13" x14ac:dyDescent="0.15">
      <c r="A414" s="4" t="s">
        <v>40</v>
      </c>
      <c r="B414" s="4" t="s">
        <v>41</v>
      </c>
      <c r="E414" s="10">
        <v>0.625</v>
      </c>
      <c r="F414" s="4">
        <v>0</v>
      </c>
    </row>
    <row r="415" spans="1:9" ht="13" x14ac:dyDescent="0.15">
      <c r="A415" s="4" t="s">
        <v>40</v>
      </c>
      <c r="B415" s="4" t="s">
        <v>41</v>
      </c>
      <c r="E415" s="10">
        <v>0.625</v>
      </c>
      <c r="F415" s="4">
        <v>0</v>
      </c>
    </row>
    <row r="416" spans="1:9" ht="13" x14ac:dyDescent="0.15">
      <c r="A416" s="4" t="s">
        <v>40</v>
      </c>
      <c r="B416" s="4" t="s">
        <v>41</v>
      </c>
      <c r="C416" s="4"/>
      <c r="D416" s="9"/>
      <c r="E416" s="10">
        <v>0.66666666666666663</v>
      </c>
      <c r="F416" s="4">
        <v>0</v>
      </c>
      <c r="G416" s="7"/>
      <c r="H416" s="7"/>
      <c r="I416" s="4"/>
    </row>
    <row r="417" spans="1:9" ht="13" x14ac:dyDescent="0.15">
      <c r="A417" s="4" t="s">
        <v>40</v>
      </c>
      <c r="B417" s="4" t="s">
        <v>41</v>
      </c>
      <c r="C417" s="4"/>
      <c r="E417" s="10">
        <v>0.66666666666666663</v>
      </c>
      <c r="F417" s="4">
        <v>0</v>
      </c>
      <c r="I417" s="4"/>
    </row>
    <row r="418" spans="1:9" ht="13" x14ac:dyDescent="0.15">
      <c r="A418" s="4" t="s">
        <v>40</v>
      </c>
      <c r="B418" s="4" t="s">
        <v>41</v>
      </c>
      <c r="E418" s="10">
        <v>0.66666666666666663</v>
      </c>
      <c r="F418" s="4">
        <v>0</v>
      </c>
    </row>
    <row r="419" spans="1:9" ht="13" x14ac:dyDescent="0.15">
      <c r="A419" s="4" t="s">
        <v>40</v>
      </c>
      <c r="B419" s="4" t="s">
        <v>41</v>
      </c>
      <c r="E419" s="10">
        <v>0.66666666666666663</v>
      </c>
      <c r="F419" s="4">
        <v>0</v>
      </c>
    </row>
    <row r="420" spans="1:9" ht="13" x14ac:dyDescent="0.15">
      <c r="A420" s="4" t="s">
        <v>40</v>
      </c>
      <c r="B420" s="4" t="s">
        <v>41</v>
      </c>
      <c r="C420" s="4"/>
      <c r="D420" s="9"/>
      <c r="E420" s="10">
        <v>0.70833333333333337</v>
      </c>
      <c r="F420" s="4">
        <v>0</v>
      </c>
      <c r="G420" s="7"/>
      <c r="H420" s="7"/>
      <c r="I420" s="4"/>
    </row>
    <row r="421" spans="1:9" ht="13" x14ac:dyDescent="0.15">
      <c r="A421" s="4" t="s">
        <v>40</v>
      </c>
      <c r="B421" s="4" t="s">
        <v>41</v>
      </c>
      <c r="C421" s="4"/>
      <c r="E421" s="10">
        <v>0.70833333333333337</v>
      </c>
      <c r="F421" s="4">
        <v>0</v>
      </c>
      <c r="I421" s="4"/>
    </row>
    <row r="422" spans="1:9" ht="13" x14ac:dyDescent="0.15">
      <c r="A422" s="4" t="s">
        <v>40</v>
      </c>
      <c r="B422" s="4" t="s">
        <v>41</v>
      </c>
      <c r="E422" s="10">
        <v>0.70833333333333337</v>
      </c>
      <c r="F422" s="4">
        <v>0</v>
      </c>
    </row>
    <row r="423" spans="1:9" ht="13" x14ac:dyDescent="0.15">
      <c r="A423" s="4" t="s">
        <v>40</v>
      </c>
      <c r="B423" s="4" t="s">
        <v>41</v>
      </c>
      <c r="E423" s="10">
        <v>0.70833333333333337</v>
      </c>
      <c r="F423" s="4">
        <v>0</v>
      </c>
    </row>
    <row r="424" spans="1:9" ht="13" x14ac:dyDescent="0.15">
      <c r="A424" s="4" t="s">
        <v>40</v>
      </c>
      <c r="B424" s="4" t="s">
        <v>48</v>
      </c>
      <c r="C424" s="4">
        <v>0</v>
      </c>
      <c r="E424" s="10">
        <v>0.70833333333333337</v>
      </c>
      <c r="F424" s="4">
        <v>1</v>
      </c>
    </row>
    <row r="425" spans="1:9" ht="14" x14ac:dyDescent="0.15">
      <c r="A425" s="25" t="s">
        <v>40</v>
      </c>
      <c r="B425" s="25" t="s">
        <v>18</v>
      </c>
      <c r="C425" s="25">
        <v>0</v>
      </c>
      <c r="D425" s="35">
        <v>45875</v>
      </c>
      <c r="E425" s="30">
        <v>0.70902777777777781</v>
      </c>
      <c r="F425" s="25">
        <v>1</v>
      </c>
      <c r="G425" s="51"/>
      <c r="H425" s="51" t="s">
        <v>21</v>
      </c>
      <c r="I425" s="25">
        <v>2</v>
      </c>
    </row>
    <row r="426" spans="1:9" ht="13" x14ac:dyDescent="0.15">
      <c r="A426" s="4" t="s">
        <v>40</v>
      </c>
      <c r="B426" s="4" t="s">
        <v>48</v>
      </c>
      <c r="C426" s="4">
        <v>0</v>
      </c>
      <c r="E426" s="10">
        <v>0.70902777777777781</v>
      </c>
      <c r="F426" s="4">
        <v>0</v>
      </c>
    </row>
    <row r="427" spans="1:9" ht="13" x14ac:dyDescent="0.15">
      <c r="A427" s="4" t="s">
        <v>40</v>
      </c>
      <c r="B427" s="4" t="s">
        <v>48</v>
      </c>
      <c r="C427" s="4">
        <v>0</v>
      </c>
      <c r="E427" s="10">
        <v>0.70972222222222225</v>
      </c>
      <c r="F427" s="4">
        <v>0</v>
      </c>
    </row>
    <row r="428" spans="1:9" ht="13" x14ac:dyDescent="0.15">
      <c r="A428" s="4" t="s">
        <v>40</v>
      </c>
      <c r="B428" s="4" t="s">
        <v>48</v>
      </c>
      <c r="C428" s="4">
        <v>0</v>
      </c>
      <c r="E428" s="10">
        <v>0.71111111111111114</v>
      </c>
      <c r="F428" s="4">
        <v>0</v>
      </c>
    </row>
    <row r="429" spans="1:9" ht="13" x14ac:dyDescent="0.15">
      <c r="A429" s="4" t="s">
        <v>40</v>
      </c>
      <c r="B429" s="4" t="s">
        <v>23</v>
      </c>
      <c r="D429" s="9"/>
      <c r="E429" s="10">
        <v>0.71111111111111114</v>
      </c>
      <c r="F429" s="4">
        <v>1</v>
      </c>
    </row>
    <row r="430" spans="1:9" ht="13" x14ac:dyDescent="0.15">
      <c r="A430" s="4" t="s">
        <v>40</v>
      </c>
      <c r="B430" s="4" t="s">
        <v>41</v>
      </c>
      <c r="C430" s="4"/>
      <c r="D430" s="9"/>
      <c r="E430" s="10">
        <v>0.75</v>
      </c>
      <c r="F430" s="4">
        <v>0</v>
      </c>
      <c r="G430" s="7"/>
      <c r="H430" s="7"/>
      <c r="I430" s="4"/>
    </row>
    <row r="431" spans="1:9" ht="13" x14ac:dyDescent="0.15">
      <c r="A431" s="4" t="s">
        <v>40</v>
      </c>
      <c r="B431" s="4" t="s">
        <v>41</v>
      </c>
      <c r="C431" s="4"/>
      <c r="E431" s="10">
        <v>0.75</v>
      </c>
      <c r="F431" s="4">
        <v>0</v>
      </c>
      <c r="I431" s="4"/>
    </row>
    <row r="432" spans="1:9" ht="13" x14ac:dyDescent="0.15">
      <c r="A432" s="4" t="s">
        <v>40</v>
      </c>
      <c r="B432" s="4" t="s">
        <v>41</v>
      </c>
      <c r="E432" s="10">
        <v>0.75</v>
      </c>
      <c r="F432" s="4">
        <v>0</v>
      </c>
    </row>
    <row r="433" spans="1:9" ht="13" x14ac:dyDescent="0.15">
      <c r="A433" s="4" t="s">
        <v>40</v>
      </c>
      <c r="B433" s="4" t="s">
        <v>41</v>
      </c>
      <c r="E433" s="10">
        <v>0.75</v>
      </c>
      <c r="F433" s="4">
        <v>0</v>
      </c>
    </row>
    <row r="434" spans="1:9" ht="13" x14ac:dyDescent="0.15">
      <c r="A434" s="4" t="s">
        <v>40</v>
      </c>
      <c r="B434" s="4" t="s">
        <v>41</v>
      </c>
      <c r="C434" s="4"/>
      <c r="D434" s="9"/>
      <c r="E434" s="10">
        <v>0.79166666666666663</v>
      </c>
      <c r="F434" s="4">
        <v>0</v>
      </c>
      <c r="G434" s="7"/>
      <c r="H434" s="7"/>
      <c r="I434" s="4"/>
    </row>
    <row r="435" spans="1:9" ht="13" x14ac:dyDescent="0.15">
      <c r="A435" s="4" t="s">
        <v>40</v>
      </c>
      <c r="B435" s="4" t="s">
        <v>41</v>
      </c>
      <c r="C435" s="4"/>
      <c r="E435" s="10">
        <v>0.79166666666666663</v>
      </c>
      <c r="F435" s="4">
        <v>0</v>
      </c>
      <c r="I435" s="4"/>
    </row>
    <row r="436" spans="1:9" ht="13" x14ac:dyDescent="0.15">
      <c r="A436" s="4" t="s">
        <v>40</v>
      </c>
      <c r="B436" s="4" t="s">
        <v>41</v>
      </c>
      <c r="E436" s="10">
        <v>0.79166666666666663</v>
      </c>
      <c r="F436" s="4">
        <v>0</v>
      </c>
    </row>
    <row r="437" spans="1:9" ht="13" x14ac:dyDescent="0.15">
      <c r="A437" s="4" t="s">
        <v>40</v>
      </c>
      <c r="B437" s="4" t="s">
        <v>41</v>
      </c>
      <c r="E437" s="10">
        <v>0.79166666666666663</v>
      </c>
      <c r="F437" s="4">
        <v>0</v>
      </c>
    </row>
    <row r="438" spans="1:9" ht="13" x14ac:dyDescent="0.15">
      <c r="A438" s="4" t="s">
        <v>40</v>
      </c>
      <c r="B438" s="4" t="s">
        <v>18</v>
      </c>
      <c r="C438" s="4">
        <v>0</v>
      </c>
      <c r="E438" s="10">
        <v>0.79305555555555551</v>
      </c>
      <c r="F438" s="4">
        <v>1</v>
      </c>
      <c r="I438" s="4">
        <v>1</v>
      </c>
    </row>
    <row r="439" spans="1:9" ht="13" x14ac:dyDescent="0.15">
      <c r="A439" s="4" t="s">
        <v>40</v>
      </c>
      <c r="B439" s="4" t="s">
        <v>48</v>
      </c>
      <c r="C439" s="4">
        <v>0</v>
      </c>
      <c r="E439" s="10">
        <v>0.79374999999999996</v>
      </c>
      <c r="F439" s="4">
        <v>1</v>
      </c>
    </row>
    <row r="440" spans="1:9" ht="13" x14ac:dyDescent="0.15">
      <c r="A440" s="4" t="s">
        <v>40</v>
      </c>
      <c r="B440" s="4" t="s">
        <v>23</v>
      </c>
      <c r="D440" s="9"/>
      <c r="E440" s="10">
        <v>0.7944444444444444</v>
      </c>
      <c r="F440" s="4">
        <v>1</v>
      </c>
    </row>
    <row r="441" spans="1:9" ht="13" x14ac:dyDescent="0.15">
      <c r="A441" s="6" t="s">
        <v>20</v>
      </c>
      <c r="B441" s="4" t="s">
        <v>18</v>
      </c>
      <c r="C441" s="4">
        <v>0</v>
      </c>
      <c r="E441" s="10">
        <v>0.83333333333333337</v>
      </c>
      <c r="F441" s="4">
        <v>1</v>
      </c>
      <c r="I441" s="4">
        <v>1</v>
      </c>
    </row>
    <row r="442" spans="1:9" ht="13" x14ac:dyDescent="0.15">
      <c r="A442" s="4" t="s">
        <v>40</v>
      </c>
      <c r="B442" s="4" t="s">
        <v>41</v>
      </c>
      <c r="C442" s="4"/>
      <c r="D442" s="9"/>
      <c r="E442" s="10">
        <v>0.83333333333333337</v>
      </c>
      <c r="F442" s="4">
        <v>0</v>
      </c>
      <c r="G442" s="7"/>
      <c r="H442" s="7"/>
      <c r="I442" s="4"/>
    </row>
    <row r="443" spans="1:9" ht="13" x14ac:dyDescent="0.15">
      <c r="A443" s="4" t="s">
        <v>40</v>
      </c>
      <c r="B443" s="4" t="s">
        <v>41</v>
      </c>
      <c r="C443" s="4"/>
      <c r="E443" s="10">
        <v>0.83333333333333337</v>
      </c>
      <c r="F443" s="4">
        <v>0</v>
      </c>
      <c r="I443" s="4"/>
    </row>
    <row r="444" spans="1:9" ht="13" x14ac:dyDescent="0.15">
      <c r="A444" s="4" t="s">
        <v>40</v>
      </c>
      <c r="B444" s="4" t="s">
        <v>41</v>
      </c>
      <c r="E444" s="10">
        <v>0.83333333333333337</v>
      </c>
      <c r="F444" s="4">
        <v>0</v>
      </c>
    </row>
    <row r="445" spans="1:9" ht="13" x14ac:dyDescent="0.15">
      <c r="A445" s="4" t="s">
        <v>40</v>
      </c>
      <c r="B445" s="4" t="s">
        <v>41</v>
      </c>
      <c r="E445" s="10">
        <v>0.83333333333333337</v>
      </c>
      <c r="F445" s="4">
        <v>0</v>
      </c>
    </row>
    <row r="446" spans="1:9" ht="14" x14ac:dyDescent="0.15">
      <c r="A446" s="4" t="s">
        <v>40</v>
      </c>
      <c r="B446" s="4" t="s">
        <v>18</v>
      </c>
      <c r="C446" s="4">
        <v>1</v>
      </c>
      <c r="D446" s="9">
        <v>45870</v>
      </c>
      <c r="E446" s="10">
        <v>0.83333333333333337</v>
      </c>
      <c r="F446" s="4">
        <v>1</v>
      </c>
      <c r="G446" s="16"/>
      <c r="H446" s="16" t="s">
        <v>21</v>
      </c>
      <c r="I446" s="4">
        <v>1</v>
      </c>
    </row>
    <row r="447" spans="1:9" ht="13" x14ac:dyDescent="0.15">
      <c r="A447" s="4" t="s">
        <v>40</v>
      </c>
      <c r="B447" s="4" t="s">
        <v>48</v>
      </c>
      <c r="C447" s="4">
        <v>0</v>
      </c>
      <c r="E447" s="10">
        <v>0.83333333333333337</v>
      </c>
      <c r="F447" s="4">
        <v>1</v>
      </c>
    </row>
    <row r="448" spans="1:9" ht="28" x14ac:dyDescent="0.15">
      <c r="A448" s="4" t="s">
        <v>40</v>
      </c>
      <c r="B448" s="4" t="s">
        <v>23</v>
      </c>
      <c r="D448" s="9">
        <v>45876</v>
      </c>
      <c r="E448" s="10">
        <v>0.83333333333333337</v>
      </c>
      <c r="F448" s="4">
        <v>1</v>
      </c>
      <c r="H448" s="11" t="s">
        <v>29</v>
      </c>
    </row>
    <row r="449" spans="1:9" ht="13" x14ac:dyDescent="0.15">
      <c r="A449" s="6" t="s">
        <v>20</v>
      </c>
      <c r="B449" s="4" t="s">
        <v>18</v>
      </c>
      <c r="C449" s="4">
        <v>0</v>
      </c>
      <c r="E449" s="10">
        <v>0.83402777777777781</v>
      </c>
      <c r="F449" s="4">
        <v>0</v>
      </c>
      <c r="I449" s="4">
        <v>1</v>
      </c>
    </row>
    <row r="450" spans="1:9" ht="13" x14ac:dyDescent="0.15">
      <c r="A450" s="4" t="s">
        <v>40</v>
      </c>
      <c r="B450" s="4" t="s">
        <v>23</v>
      </c>
      <c r="D450" s="9"/>
      <c r="E450" s="10">
        <v>0.83402777777777781</v>
      </c>
      <c r="F450" s="4">
        <v>0</v>
      </c>
    </row>
    <row r="451" spans="1:9" ht="13" x14ac:dyDescent="0.15">
      <c r="A451" s="6" t="s">
        <v>20</v>
      </c>
      <c r="B451" s="4" t="s">
        <v>18</v>
      </c>
      <c r="C451" s="4">
        <v>0</v>
      </c>
      <c r="E451" s="10">
        <v>0.83472222222222225</v>
      </c>
      <c r="F451" s="4">
        <v>0</v>
      </c>
      <c r="I451" s="4">
        <v>1</v>
      </c>
    </row>
    <row r="452" spans="1:9" ht="13" x14ac:dyDescent="0.15">
      <c r="A452" s="4" t="s">
        <v>40</v>
      </c>
      <c r="C452" s="4">
        <v>0</v>
      </c>
      <c r="E452" s="10">
        <v>0.83472222222222225</v>
      </c>
      <c r="F452" s="4">
        <v>0</v>
      </c>
      <c r="I452" s="4">
        <v>1</v>
      </c>
    </row>
    <row r="453" spans="1:9" ht="13" x14ac:dyDescent="0.15">
      <c r="A453" s="4" t="s">
        <v>40</v>
      </c>
      <c r="B453" s="4" t="s">
        <v>23</v>
      </c>
      <c r="D453" s="9"/>
      <c r="E453" s="10">
        <v>0.83472222222222225</v>
      </c>
      <c r="F453" s="4">
        <v>0</v>
      </c>
    </row>
    <row r="454" spans="1:9" ht="13" x14ac:dyDescent="0.15">
      <c r="A454" s="6" t="s">
        <v>20</v>
      </c>
      <c r="B454" s="4" t="s">
        <v>18</v>
      </c>
      <c r="C454" s="4">
        <v>0</v>
      </c>
      <c r="E454" s="10">
        <v>0.8354166666666667</v>
      </c>
      <c r="F454" s="4">
        <v>0</v>
      </c>
      <c r="I454" s="4">
        <v>1</v>
      </c>
    </row>
    <row r="455" spans="1:9" ht="13" x14ac:dyDescent="0.15">
      <c r="A455" s="4" t="s">
        <v>40</v>
      </c>
      <c r="C455" s="4">
        <v>0</v>
      </c>
      <c r="E455" s="10">
        <v>0.8354166666666667</v>
      </c>
      <c r="F455" s="4">
        <v>0</v>
      </c>
      <c r="I455" s="4">
        <v>1</v>
      </c>
    </row>
    <row r="456" spans="1:9" ht="13" x14ac:dyDescent="0.15">
      <c r="A456" s="4" t="s">
        <v>40</v>
      </c>
      <c r="B456" s="4" t="s">
        <v>23</v>
      </c>
      <c r="D456" s="9"/>
      <c r="E456" s="10">
        <v>0.8354166666666667</v>
      </c>
      <c r="F456" s="4">
        <v>0</v>
      </c>
    </row>
    <row r="457" spans="1:9" ht="13" x14ac:dyDescent="0.15">
      <c r="A457" s="4" t="s">
        <v>40</v>
      </c>
      <c r="C457" s="4">
        <v>0</v>
      </c>
      <c r="E457" s="10">
        <v>0.83611111111111114</v>
      </c>
      <c r="F457" s="4">
        <v>0</v>
      </c>
      <c r="I457" s="4">
        <v>1</v>
      </c>
    </row>
    <row r="458" spans="1:9" ht="13" x14ac:dyDescent="0.15">
      <c r="A458" s="4" t="s">
        <v>40</v>
      </c>
      <c r="B458" s="4" t="s">
        <v>23</v>
      </c>
      <c r="D458" s="9"/>
      <c r="E458" s="10">
        <v>0.83611111111111114</v>
      </c>
      <c r="F458" s="4">
        <v>1</v>
      </c>
    </row>
    <row r="459" spans="1:9" ht="13" x14ac:dyDescent="0.15">
      <c r="A459" s="6" t="s">
        <v>20</v>
      </c>
      <c r="B459" s="4" t="s">
        <v>37</v>
      </c>
      <c r="C459" s="4">
        <v>0</v>
      </c>
      <c r="E459" s="10">
        <v>0.875</v>
      </c>
      <c r="F459" s="4">
        <v>1</v>
      </c>
      <c r="I459" s="4">
        <v>2</v>
      </c>
    </row>
    <row r="460" spans="1:9" ht="13" x14ac:dyDescent="0.15">
      <c r="A460" s="6" t="s">
        <v>20</v>
      </c>
      <c r="B460" s="4" t="s">
        <v>18</v>
      </c>
      <c r="C460" s="4">
        <v>0</v>
      </c>
      <c r="E460" s="10">
        <v>0.875</v>
      </c>
      <c r="F460" s="4">
        <v>1</v>
      </c>
      <c r="I460" s="4">
        <v>2</v>
      </c>
    </row>
    <row r="461" spans="1:9" ht="13" x14ac:dyDescent="0.15">
      <c r="A461" s="4" t="s">
        <v>40</v>
      </c>
      <c r="B461" s="4" t="s">
        <v>41</v>
      </c>
      <c r="C461" s="4"/>
      <c r="D461" s="9"/>
      <c r="E461" s="10">
        <v>0.875</v>
      </c>
      <c r="F461" s="4">
        <v>0</v>
      </c>
      <c r="G461" s="7"/>
      <c r="H461" s="7"/>
      <c r="I461" s="4"/>
    </row>
    <row r="462" spans="1:9" ht="13" x14ac:dyDescent="0.15">
      <c r="A462" s="4" t="s">
        <v>40</v>
      </c>
      <c r="B462" s="4" t="s">
        <v>41</v>
      </c>
      <c r="C462" s="4"/>
      <c r="E462" s="10">
        <v>0.875</v>
      </c>
      <c r="F462" s="4">
        <v>0</v>
      </c>
      <c r="I462" s="4"/>
    </row>
    <row r="463" spans="1:9" ht="13" x14ac:dyDescent="0.15">
      <c r="A463" s="4" t="s">
        <v>40</v>
      </c>
      <c r="B463" s="4" t="s">
        <v>41</v>
      </c>
      <c r="E463" s="10">
        <v>0.875</v>
      </c>
      <c r="F463" s="4">
        <v>0</v>
      </c>
    </row>
    <row r="464" spans="1:9" ht="13" x14ac:dyDescent="0.15">
      <c r="A464" s="4" t="s">
        <v>40</v>
      </c>
      <c r="B464" s="4" t="s">
        <v>41</v>
      </c>
      <c r="E464" s="10">
        <v>0.875</v>
      </c>
      <c r="F464" s="4">
        <v>0</v>
      </c>
    </row>
    <row r="465" spans="1:9" ht="13" x14ac:dyDescent="0.15">
      <c r="A465" s="4" t="s">
        <v>40</v>
      </c>
      <c r="B465" s="4" t="s">
        <v>48</v>
      </c>
      <c r="C465" s="4">
        <v>0</v>
      </c>
      <c r="D465" s="9">
        <v>45870</v>
      </c>
      <c r="E465" s="10">
        <v>0.875</v>
      </c>
      <c r="F465" s="4">
        <v>1</v>
      </c>
      <c r="G465" s="7"/>
      <c r="H465" s="7" t="s">
        <v>49</v>
      </c>
    </row>
    <row r="466" spans="1:9" ht="13" x14ac:dyDescent="0.15">
      <c r="A466" s="4" t="s">
        <v>40</v>
      </c>
      <c r="B466" s="4" t="s">
        <v>48</v>
      </c>
      <c r="C466" s="4">
        <v>0</v>
      </c>
      <c r="E466" s="10">
        <v>0.875</v>
      </c>
      <c r="F466" s="4">
        <v>1</v>
      </c>
    </row>
    <row r="467" spans="1:9" ht="13" x14ac:dyDescent="0.15">
      <c r="A467" s="4" t="s">
        <v>40</v>
      </c>
      <c r="B467" s="4" t="s">
        <v>48</v>
      </c>
      <c r="C467" s="4">
        <v>0</v>
      </c>
      <c r="E467" s="10">
        <v>0.875</v>
      </c>
      <c r="F467" s="4">
        <v>1</v>
      </c>
    </row>
    <row r="468" spans="1:9" ht="13" x14ac:dyDescent="0.15">
      <c r="A468" s="4" t="s">
        <v>40</v>
      </c>
      <c r="B468" s="4" t="s">
        <v>48</v>
      </c>
      <c r="C468" s="4">
        <v>1</v>
      </c>
      <c r="E468" s="10">
        <v>0.875</v>
      </c>
      <c r="F468" s="4">
        <v>1</v>
      </c>
    </row>
    <row r="469" spans="1:9" ht="13" x14ac:dyDescent="0.15">
      <c r="A469" s="6" t="s">
        <v>20</v>
      </c>
      <c r="B469" s="6" t="s">
        <v>23</v>
      </c>
      <c r="C469" s="6">
        <v>0</v>
      </c>
      <c r="D469" s="9"/>
      <c r="E469" s="10">
        <v>0.87569444444444444</v>
      </c>
      <c r="F469" s="8">
        <v>1</v>
      </c>
      <c r="G469" s="6"/>
      <c r="H469" s="6"/>
      <c r="I469" s="6">
        <v>1</v>
      </c>
    </row>
    <row r="470" spans="1:9" ht="13" x14ac:dyDescent="0.15">
      <c r="A470" s="6" t="s">
        <v>20</v>
      </c>
      <c r="B470" s="4" t="s">
        <v>37</v>
      </c>
      <c r="C470" s="4">
        <v>0</v>
      </c>
      <c r="E470" s="10">
        <v>0.87569444444444444</v>
      </c>
      <c r="F470" s="4">
        <v>0</v>
      </c>
      <c r="I470" s="4">
        <v>1</v>
      </c>
    </row>
    <row r="471" spans="1:9" ht="13" x14ac:dyDescent="0.15">
      <c r="A471" s="6" t="s">
        <v>20</v>
      </c>
      <c r="B471" s="4" t="s">
        <v>18</v>
      </c>
      <c r="C471" s="4">
        <v>0</v>
      </c>
      <c r="E471" s="10">
        <v>0.87569444444444444</v>
      </c>
      <c r="F471" s="4">
        <v>0</v>
      </c>
      <c r="I471" s="4">
        <v>1</v>
      </c>
    </row>
    <row r="472" spans="1:9" ht="13" x14ac:dyDescent="0.15">
      <c r="A472" s="4" t="s">
        <v>40</v>
      </c>
      <c r="B472" s="4" t="s">
        <v>48</v>
      </c>
      <c r="C472" s="4">
        <v>0</v>
      </c>
      <c r="E472" s="10">
        <v>0.87569444444444444</v>
      </c>
      <c r="F472" s="4">
        <v>0</v>
      </c>
    </row>
    <row r="473" spans="1:9" ht="13" x14ac:dyDescent="0.15">
      <c r="A473" s="4" t="s">
        <v>40</v>
      </c>
      <c r="B473" s="4" t="s">
        <v>48</v>
      </c>
      <c r="C473" s="4">
        <v>0</v>
      </c>
      <c r="E473" s="10">
        <v>0.87569444444444444</v>
      </c>
      <c r="F473" s="4">
        <v>0</v>
      </c>
    </row>
    <row r="474" spans="1:9" ht="13" x14ac:dyDescent="0.15">
      <c r="A474" s="4" t="s">
        <v>40</v>
      </c>
      <c r="B474" s="4" t="s">
        <v>48</v>
      </c>
      <c r="C474" s="4">
        <v>0</v>
      </c>
      <c r="E474" s="10">
        <v>0.87569444444444444</v>
      </c>
      <c r="F474" s="4">
        <v>0</v>
      </c>
    </row>
    <row r="475" spans="1:9" ht="13" x14ac:dyDescent="0.15">
      <c r="A475" s="4" t="s">
        <v>40</v>
      </c>
      <c r="B475" s="4" t="s">
        <v>48</v>
      </c>
      <c r="C475" s="4">
        <v>0</v>
      </c>
      <c r="E475" s="10">
        <v>0.87569444444444444</v>
      </c>
      <c r="F475" s="4">
        <v>0</v>
      </c>
    </row>
    <row r="476" spans="1:9" ht="13" x14ac:dyDescent="0.15">
      <c r="A476" s="4" t="s">
        <v>40</v>
      </c>
      <c r="B476" s="4" t="s">
        <v>48</v>
      </c>
      <c r="C476" s="4">
        <v>0</v>
      </c>
      <c r="E476" s="10">
        <v>0.87569444444444444</v>
      </c>
      <c r="F476" s="4">
        <v>1</v>
      </c>
    </row>
    <row r="477" spans="1:9" ht="13" x14ac:dyDescent="0.15">
      <c r="A477" s="4" t="s">
        <v>40</v>
      </c>
      <c r="B477" s="4" t="s">
        <v>23</v>
      </c>
      <c r="D477" s="9"/>
      <c r="E477" s="10">
        <v>0.87569444444444444</v>
      </c>
      <c r="F477" s="4">
        <v>1</v>
      </c>
    </row>
    <row r="478" spans="1:9" ht="13" x14ac:dyDescent="0.15">
      <c r="A478" s="6" t="s">
        <v>20</v>
      </c>
      <c r="B478" s="6" t="s">
        <v>23</v>
      </c>
      <c r="C478" s="6">
        <v>0</v>
      </c>
      <c r="D478" s="9"/>
      <c r="E478" s="10">
        <v>0.87638888888888888</v>
      </c>
      <c r="F478" s="6">
        <v>0</v>
      </c>
      <c r="G478" s="6"/>
      <c r="H478" s="6"/>
      <c r="I478" s="6">
        <v>1</v>
      </c>
    </row>
    <row r="479" spans="1:9" ht="13" x14ac:dyDescent="0.15">
      <c r="A479" s="28" t="s">
        <v>20</v>
      </c>
      <c r="B479" s="25" t="s">
        <v>37</v>
      </c>
      <c r="C479" s="25">
        <v>0</v>
      </c>
      <c r="D479" s="25"/>
      <c r="E479" s="30">
        <v>0.87638888888888888</v>
      </c>
      <c r="F479" s="25">
        <v>0</v>
      </c>
      <c r="G479" s="25"/>
      <c r="H479" s="25"/>
      <c r="I479" s="25">
        <v>1</v>
      </c>
    </row>
    <row r="480" spans="1:9" ht="13" x14ac:dyDescent="0.15">
      <c r="A480" s="6" t="s">
        <v>20</v>
      </c>
      <c r="B480" s="4" t="s">
        <v>18</v>
      </c>
      <c r="C480" s="4">
        <v>0</v>
      </c>
      <c r="E480" s="10">
        <v>0.87638888888888888</v>
      </c>
      <c r="F480" s="4">
        <v>0</v>
      </c>
      <c r="I480" s="4">
        <v>1</v>
      </c>
    </row>
    <row r="481" spans="1:9" ht="13" x14ac:dyDescent="0.15">
      <c r="A481" s="4" t="s">
        <v>40</v>
      </c>
      <c r="B481" s="4" t="s">
        <v>48</v>
      </c>
      <c r="C481" s="4">
        <v>0</v>
      </c>
      <c r="E481" s="10">
        <v>0.87638888888888888</v>
      </c>
      <c r="F481" s="4">
        <v>0</v>
      </c>
    </row>
    <row r="482" spans="1:9" ht="13" x14ac:dyDescent="0.15">
      <c r="A482" s="4" t="s">
        <v>40</v>
      </c>
      <c r="B482" s="4" t="s">
        <v>48</v>
      </c>
      <c r="C482" s="4">
        <v>0</v>
      </c>
      <c r="E482" s="10">
        <v>0.87638888888888888</v>
      </c>
      <c r="F482" s="4">
        <v>0</v>
      </c>
    </row>
    <row r="483" spans="1:9" ht="13" x14ac:dyDescent="0.15">
      <c r="A483" s="4" t="s">
        <v>40</v>
      </c>
      <c r="B483" s="4" t="s">
        <v>48</v>
      </c>
      <c r="C483" s="4">
        <v>0</v>
      </c>
      <c r="E483" s="10">
        <v>0.87638888888888888</v>
      </c>
      <c r="F483" s="4">
        <v>0</v>
      </c>
    </row>
    <row r="484" spans="1:9" ht="13" x14ac:dyDescent="0.15">
      <c r="A484" s="4" t="s">
        <v>40</v>
      </c>
      <c r="B484" s="4" t="s">
        <v>23</v>
      </c>
      <c r="D484" s="9"/>
      <c r="E484" s="10">
        <v>0.87638888888888888</v>
      </c>
      <c r="F484" s="4">
        <v>0</v>
      </c>
    </row>
    <row r="485" spans="1:9" ht="13" x14ac:dyDescent="0.15">
      <c r="A485" s="6" t="s">
        <v>20</v>
      </c>
      <c r="B485" s="4" t="s">
        <v>37</v>
      </c>
      <c r="C485" s="4">
        <v>0</v>
      </c>
      <c r="E485" s="10">
        <v>0.87708333333333333</v>
      </c>
      <c r="F485" s="4">
        <v>0</v>
      </c>
      <c r="I485" s="4">
        <v>1</v>
      </c>
    </row>
    <row r="486" spans="1:9" ht="13" x14ac:dyDescent="0.15">
      <c r="A486" s="6" t="s">
        <v>20</v>
      </c>
      <c r="B486" s="4" t="s">
        <v>18</v>
      </c>
      <c r="C486" s="4">
        <v>0</v>
      </c>
      <c r="E486" s="10">
        <v>0.87708333333333333</v>
      </c>
      <c r="F486" s="4">
        <v>0</v>
      </c>
      <c r="I486" s="4">
        <v>1</v>
      </c>
    </row>
    <row r="487" spans="1:9" ht="13" x14ac:dyDescent="0.15">
      <c r="A487" s="4" t="s">
        <v>40</v>
      </c>
      <c r="B487" s="4" t="s">
        <v>48</v>
      </c>
      <c r="C487" s="4">
        <v>0</v>
      </c>
      <c r="E487" s="10">
        <v>0.87708333333333333</v>
      </c>
      <c r="F487" s="4">
        <v>0</v>
      </c>
    </row>
    <row r="488" spans="1:9" ht="13" x14ac:dyDescent="0.15">
      <c r="A488" s="4" t="s">
        <v>40</v>
      </c>
      <c r="B488" s="4" t="s">
        <v>48</v>
      </c>
      <c r="C488" s="4">
        <v>0</v>
      </c>
      <c r="E488" s="10">
        <v>0.87708333333333333</v>
      </c>
      <c r="F488" s="4">
        <v>0</v>
      </c>
    </row>
    <row r="489" spans="1:9" ht="13" x14ac:dyDescent="0.15">
      <c r="A489" s="4" t="s">
        <v>40</v>
      </c>
      <c r="B489" s="4" t="s">
        <v>48</v>
      </c>
      <c r="C489" s="4">
        <v>0</v>
      </c>
      <c r="E489" s="10">
        <v>0.87708333333333333</v>
      </c>
      <c r="F489" s="4">
        <v>0</v>
      </c>
    </row>
    <row r="490" spans="1:9" ht="13" x14ac:dyDescent="0.15">
      <c r="A490" s="4" t="s">
        <v>40</v>
      </c>
      <c r="B490" s="4" t="s">
        <v>23</v>
      </c>
      <c r="E490" s="10">
        <v>0.87708333333333333</v>
      </c>
      <c r="F490" s="4">
        <v>0</v>
      </c>
    </row>
    <row r="491" spans="1:9" ht="13" x14ac:dyDescent="0.15">
      <c r="A491" s="6" t="s">
        <v>20</v>
      </c>
      <c r="B491" s="4" t="s">
        <v>37</v>
      </c>
      <c r="C491" s="4">
        <v>0</v>
      </c>
      <c r="E491" s="10">
        <v>0.87777777777777777</v>
      </c>
      <c r="F491" s="4">
        <v>0</v>
      </c>
      <c r="I491" s="4">
        <v>1</v>
      </c>
    </row>
    <row r="492" spans="1:9" ht="13" x14ac:dyDescent="0.15">
      <c r="A492" s="6" t="s">
        <v>20</v>
      </c>
      <c r="B492" s="4" t="s">
        <v>18</v>
      </c>
      <c r="C492" s="4">
        <v>0</v>
      </c>
      <c r="E492" s="10">
        <v>0.87777777777777777</v>
      </c>
      <c r="F492" s="4">
        <v>0</v>
      </c>
      <c r="I492" s="4">
        <v>1</v>
      </c>
    </row>
    <row r="493" spans="1:9" ht="13" x14ac:dyDescent="0.15">
      <c r="A493" s="4" t="s">
        <v>40</v>
      </c>
      <c r="B493" s="4" t="s">
        <v>48</v>
      </c>
      <c r="C493" s="4">
        <v>0</v>
      </c>
      <c r="E493" s="10">
        <v>0.87777777777777777</v>
      </c>
      <c r="F493" s="4">
        <v>0</v>
      </c>
    </row>
    <row r="494" spans="1:9" ht="13" x14ac:dyDescent="0.15">
      <c r="A494" s="4" t="s">
        <v>40</v>
      </c>
      <c r="B494" s="4" t="s">
        <v>48</v>
      </c>
      <c r="C494" s="4">
        <v>0</v>
      </c>
      <c r="E494" s="10">
        <v>0.87777777777777777</v>
      </c>
      <c r="F494" s="4">
        <v>0</v>
      </c>
    </row>
    <row r="495" spans="1:9" ht="13" x14ac:dyDescent="0.15">
      <c r="A495" s="4" t="s">
        <v>40</v>
      </c>
      <c r="B495" s="4" t="s">
        <v>48</v>
      </c>
      <c r="C495" s="4">
        <v>0</v>
      </c>
      <c r="E495" s="10">
        <v>0.87777777777777777</v>
      </c>
      <c r="F495" s="4">
        <v>0</v>
      </c>
    </row>
    <row r="496" spans="1:9" ht="13" x14ac:dyDescent="0.15">
      <c r="A496" s="6" t="s">
        <v>20</v>
      </c>
      <c r="B496" s="6" t="s">
        <v>23</v>
      </c>
      <c r="C496" s="6">
        <v>0</v>
      </c>
      <c r="D496" s="9"/>
      <c r="E496" s="10">
        <v>0.91666666666666663</v>
      </c>
      <c r="F496" s="6">
        <v>1</v>
      </c>
      <c r="G496" s="6"/>
      <c r="H496" s="6"/>
      <c r="I496" s="6">
        <v>2</v>
      </c>
    </row>
    <row r="497" spans="1:9" ht="13" x14ac:dyDescent="0.15">
      <c r="A497" s="6" t="s">
        <v>20</v>
      </c>
      <c r="B497" s="4" t="s">
        <v>18</v>
      </c>
      <c r="C497" s="4">
        <v>0</v>
      </c>
      <c r="E497" s="10">
        <v>0.91666666666666663</v>
      </c>
      <c r="F497" s="4">
        <v>1</v>
      </c>
      <c r="I497" s="4">
        <v>2</v>
      </c>
    </row>
    <row r="498" spans="1:9" ht="13" x14ac:dyDescent="0.15">
      <c r="A498" s="4" t="s">
        <v>40</v>
      </c>
      <c r="B498" s="4" t="s">
        <v>41</v>
      </c>
      <c r="C498" s="4"/>
      <c r="D498" s="9"/>
      <c r="E498" s="10">
        <v>0.91666666666666663</v>
      </c>
      <c r="F498" s="4">
        <v>0</v>
      </c>
      <c r="G498" s="7"/>
      <c r="H498" s="7"/>
      <c r="I498" s="4"/>
    </row>
    <row r="499" spans="1:9" ht="13" x14ac:dyDescent="0.15">
      <c r="A499" s="4" t="s">
        <v>40</v>
      </c>
      <c r="B499" s="4" t="s">
        <v>41</v>
      </c>
      <c r="C499" s="4"/>
      <c r="E499" s="10">
        <v>0.91666666666666663</v>
      </c>
      <c r="F499" s="4">
        <v>0</v>
      </c>
      <c r="I499" s="4"/>
    </row>
    <row r="500" spans="1:9" ht="13" x14ac:dyDescent="0.15">
      <c r="A500" s="4" t="s">
        <v>40</v>
      </c>
      <c r="B500" s="4" t="s">
        <v>41</v>
      </c>
      <c r="E500" s="10">
        <v>0.91666666666666663</v>
      </c>
      <c r="F500" s="4">
        <v>0</v>
      </c>
    </row>
    <row r="501" spans="1:9" ht="13" x14ac:dyDescent="0.15">
      <c r="A501" s="4" t="s">
        <v>40</v>
      </c>
      <c r="B501" s="4" t="s">
        <v>41</v>
      </c>
      <c r="E501" s="10">
        <v>0.91666666666666663</v>
      </c>
      <c r="F501" s="4">
        <v>1</v>
      </c>
    </row>
    <row r="502" spans="1:9" ht="13" x14ac:dyDescent="0.15">
      <c r="A502" s="4" t="s">
        <v>40</v>
      </c>
      <c r="B502" s="4" t="s">
        <v>48</v>
      </c>
      <c r="C502" s="4">
        <v>0</v>
      </c>
      <c r="E502" s="10">
        <v>0.91666666666666663</v>
      </c>
      <c r="F502" s="4">
        <v>1</v>
      </c>
    </row>
    <row r="503" spans="1:9" ht="13" x14ac:dyDescent="0.15">
      <c r="A503" s="4" t="s">
        <v>40</v>
      </c>
      <c r="B503" s="4" t="s">
        <v>48</v>
      </c>
      <c r="C503" s="4">
        <v>0</v>
      </c>
      <c r="E503" s="10">
        <v>0.91666666666666663</v>
      </c>
      <c r="F503" s="4">
        <v>1</v>
      </c>
    </row>
    <row r="504" spans="1:9" ht="13" x14ac:dyDescent="0.15">
      <c r="A504" s="4" t="s">
        <v>40</v>
      </c>
      <c r="B504" s="4" t="s">
        <v>48</v>
      </c>
      <c r="C504" s="4">
        <v>0</v>
      </c>
      <c r="E504" s="10">
        <v>0.91666666666666663</v>
      </c>
      <c r="F504" s="4">
        <v>1</v>
      </c>
    </row>
    <row r="505" spans="1:9" ht="13" x14ac:dyDescent="0.15">
      <c r="A505" s="4" t="s">
        <v>40</v>
      </c>
      <c r="B505" s="4" t="s">
        <v>48</v>
      </c>
      <c r="C505" s="4">
        <v>0</v>
      </c>
      <c r="E505" s="10">
        <v>0.91666666666666663</v>
      </c>
      <c r="F505" s="4">
        <v>1</v>
      </c>
    </row>
    <row r="506" spans="1:9" ht="13" x14ac:dyDescent="0.15">
      <c r="A506" s="6" t="s">
        <v>20</v>
      </c>
      <c r="B506" s="6" t="s">
        <v>23</v>
      </c>
      <c r="C506" s="6">
        <v>0</v>
      </c>
      <c r="D506" s="9"/>
      <c r="E506" s="10">
        <v>0.91736111111111107</v>
      </c>
      <c r="F506" s="6">
        <v>0</v>
      </c>
      <c r="G506" s="6"/>
      <c r="H506" s="6"/>
      <c r="I506" s="6">
        <v>3</v>
      </c>
    </row>
    <row r="507" spans="1:9" ht="13" x14ac:dyDescent="0.15">
      <c r="A507" s="6" t="s">
        <v>20</v>
      </c>
      <c r="B507" s="4" t="s">
        <v>18</v>
      </c>
      <c r="C507" s="4">
        <v>0</v>
      </c>
      <c r="E507" s="10">
        <v>0.91736111111111107</v>
      </c>
      <c r="F507" s="4">
        <v>0</v>
      </c>
      <c r="I507" s="4">
        <v>3</v>
      </c>
    </row>
    <row r="508" spans="1:9" ht="13" x14ac:dyDescent="0.15">
      <c r="A508" s="4" t="s">
        <v>40</v>
      </c>
      <c r="B508" s="4" t="s">
        <v>48</v>
      </c>
      <c r="C508" s="4">
        <v>0</v>
      </c>
      <c r="E508" s="10">
        <v>0.91736111111111107</v>
      </c>
      <c r="F508" s="4">
        <v>1</v>
      </c>
    </row>
    <row r="509" spans="1:9" ht="13" x14ac:dyDescent="0.15">
      <c r="A509" s="4" t="s">
        <v>40</v>
      </c>
      <c r="B509" s="4" t="s">
        <v>48</v>
      </c>
      <c r="C509" s="4">
        <v>0</v>
      </c>
      <c r="E509" s="10">
        <v>0.91736111111111107</v>
      </c>
      <c r="F509" s="4">
        <v>0</v>
      </c>
    </row>
    <row r="510" spans="1:9" ht="13" x14ac:dyDescent="0.15">
      <c r="A510" s="4" t="s">
        <v>40</v>
      </c>
      <c r="B510" s="4" t="s">
        <v>48</v>
      </c>
      <c r="C510" s="4">
        <v>0</v>
      </c>
      <c r="E510" s="10">
        <v>0.91736111111111107</v>
      </c>
      <c r="F510" s="4">
        <v>0</v>
      </c>
    </row>
    <row r="511" spans="1:9" ht="13" x14ac:dyDescent="0.15">
      <c r="A511" s="4" t="s">
        <v>40</v>
      </c>
      <c r="B511" s="4" t="s">
        <v>48</v>
      </c>
      <c r="C511" s="4">
        <v>0</v>
      </c>
      <c r="E511" s="10">
        <v>0.91736111111111107</v>
      </c>
      <c r="F511" s="4">
        <v>0</v>
      </c>
    </row>
    <row r="512" spans="1:9" ht="13" x14ac:dyDescent="0.15">
      <c r="A512" s="4" t="s">
        <v>40</v>
      </c>
      <c r="B512" s="4" t="s">
        <v>48</v>
      </c>
      <c r="C512" s="4">
        <v>0</v>
      </c>
      <c r="E512" s="10">
        <v>0.91736111111111107</v>
      </c>
      <c r="F512" s="4">
        <v>0</v>
      </c>
    </row>
    <row r="513" spans="1:9" ht="13" x14ac:dyDescent="0.15">
      <c r="A513" s="6" t="s">
        <v>20</v>
      </c>
      <c r="B513" s="6" t="s">
        <v>23</v>
      </c>
      <c r="C513" s="6">
        <v>0</v>
      </c>
      <c r="D513" s="9"/>
      <c r="E513" s="10">
        <v>0.91805555555555551</v>
      </c>
      <c r="F513" s="6">
        <v>0</v>
      </c>
      <c r="G513" s="6"/>
      <c r="H513" s="6"/>
      <c r="I513" s="6">
        <v>3</v>
      </c>
    </row>
    <row r="514" spans="1:9" ht="13" x14ac:dyDescent="0.15">
      <c r="A514" s="6" t="s">
        <v>20</v>
      </c>
      <c r="B514" s="4" t="s">
        <v>37</v>
      </c>
      <c r="C514" s="4">
        <v>0</v>
      </c>
      <c r="E514" s="10">
        <v>0.91805555555555551</v>
      </c>
      <c r="F514" s="4">
        <v>0</v>
      </c>
      <c r="I514" s="4">
        <v>3</v>
      </c>
    </row>
    <row r="515" spans="1:9" ht="13" x14ac:dyDescent="0.15">
      <c r="A515" s="6" t="s">
        <v>20</v>
      </c>
      <c r="B515" s="4" t="s">
        <v>18</v>
      </c>
      <c r="C515" s="4">
        <v>0</v>
      </c>
      <c r="E515" s="10">
        <v>0.91805555555555551</v>
      </c>
      <c r="F515" s="4">
        <v>0</v>
      </c>
      <c r="I515" s="4">
        <v>3</v>
      </c>
    </row>
    <row r="516" spans="1:9" ht="13" x14ac:dyDescent="0.15">
      <c r="A516" s="4" t="s">
        <v>40</v>
      </c>
      <c r="B516" s="4" t="s">
        <v>48</v>
      </c>
      <c r="C516" s="4">
        <v>0</v>
      </c>
      <c r="E516" s="10">
        <v>0.91805555555555551</v>
      </c>
      <c r="F516" s="4">
        <v>0</v>
      </c>
    </row>
    <row r="517" spans="1:9" ht="13" x14ac:dyDescent="0.15">
      <c r="A517" s="4" t="s">
        <v>40</v>
      </c>
      <c r="B517" s="4" t="s">
        <v>48</v>
      </c>
      <c r="C517" s="4">
        <v>0</v>
      </c>
      <c r="E517" s="10">
        <v>0.91805555555555551</v>
      </c>
      <c r="F517" s="4">
        <v>0</v>
      </c>
    </row>
    <row r="518" spans="1:9" ht="13" x14ac:dyDescent="0.15">
      <c r="A518" s="4" t="s">
        <v>40</v>
      </c>
      <c r="B518" s="4" t="s">
        <v>48</v>
      </c>
      <c r="C518" s="4">
        <v>0</v>
      </c>
      <c r="E518" s="10">
        <v>0.91805555555555551</v>
      </c>
      <c r="F518" s="4">
        <v>0</v>
      </c>
    </row>
    <row r="519" spans="1:9" ht="13" x14ac:dyDescent="0.15">
      <c r="A519" s="6" t="s">
        <v>20</v>
      </c>
      <c r="B519" s="6" t="s">
        <v>23</v>
      </c>
      <c r="C519" s="6">
        <v>0</v>
      </c>
      <c r="D519" s="9"/>
      <c r="E519" s="24">
        <v>0.91874999999999996</v>
      </c>
      <c r="F519" s="6">
        <v>0</v>
      </c>
      <c r="G519" s="6"/>
      <c r="H519" s="6"/>
      <c r="I519" s="6">
        <v>3</v>
      </c>
    </row>
    <row r="520" spans="1:9" ht="13" x14ac:dyDescent="0.15">
      <c r="A520" s="6" t="s">
        <v>20</v>
      </c>
      <c r="B520" s="4" t="s">
        <v>37</v>
      </c>
      <c r="C520" s="4">
        <v>0</v>
      </c>
      <c r="E520" s="10">
        <v>0.91874999999999996</v>
      </c>
      <c r="F520" s="4">
        <v>0</v>
      </c>
      <c r="I520" s="4">
        <v>3</v>
      </c>
    </row>
    <row r="521" spans="1:9" ht="13" x14ac:dyDescent="0.15">
      <c r="A521" s="6" t="s">
        <v>20</v>
      </c>
      <c r="B521" s="4" t="s">
        <v>18</v>
      </c>
      <c r="C521" s="4">
        <v>0</v>
      </c>
      <c r="E521" s="10">
        <v>0.91874999999999996</v>
      </c>
      <c r="F521" s="4">
        <v>0</v>
      </c>
      <c r="I521" s="4">
        <v>3</v>
      </c>
    </row>
    <row r="522" spans="1:9" ht="13" x14ac:dyDescent="0.15">
      <c r="A522" s="4" t="s">
        <v>40</v>
      </c>
      <c r="B522" s="4" t="s">
        <v>48</v>
      </c>
      <c r="C522" s="4">
        <v>0</v>
      </c>
      <c r="E522" s="10">
        <v>0.91874999999999996</v>
      </c>
      <c r="F522" s="4">
        <v>0</v>
      </c>
    </row>
    <row r="523" spans="1:9" ht="13" x14ac:dyDescent="0.15">
      <c r="A523" s="4" t="s">
        <v>40</v>
      </c>
      <c r="B523" s="4" t="s">
        <v>48</v>
      </c>
      <c r="C523" s="4">
        <v>0</v>
      </c>
      <c r="E523" s="10">
        <v>0.91874999999999996</v>
      </c>
      <c r="F523" s="4">
        <v>0</v>
      </c>
    </row>
    <row r="524" spans="1:9" ht="13" x14ac:dyDescent="0.15">
      <c r="A524" s="4" t="s">
        <v>40</v>
      </c>
      <c r="B524" s="4" t="s">
        <v>48</v>
      </c>
      <c r="C524" s="4">
        <v>0</v>
      </c>
      <c r="E524" s="10">
        <v>0.91874999999999996</v>
      </c>
      <c r="F524" s="4">
        <v>0</v>
      </c>
    </row>
    <row r="525" spans="1:9" ht="13" x14ac:dyDescent="0.15">
      <c r="A525" s="4" t="s">
        <v>40</v>
      </c>
      <c r="B525" s="4" t="s">
        <v>48</v>
      </c>
      <c r="C525" s="4">
        <v>0</v>
      </c>
      <c r="E525" s="10">
        <v>0.91874999999999996</v>
      </c>
      <c r="F525" s="4">
        <v>0</v>
      </c>
    </row>
    <row r="526" spans="1:9" ht="13" x14ac:dyDescent="0.15">
      <c r="A526" s="4" t="s">
        <v>40</v>
      </c>
      <c r="B526" s="4" t="s">
        <v>48</v>
      </c>
      <c r="C526" s="4">
        <v>0</v>
      </c>
      <c r="E526" s="10">
        <v>0.91874999999999996</v>
      </c>
      <c r="F526" s="4">
        <v>1</v>
      </c>
    </row>
    <row r="527" spans="1:9" ht="13" x14ac:dyDescent="0.15">
      <c r="A527" s="6" t="s">
        <v>20</v>
      </c>
      <c r="B527" s="6" t="s">
        <v>23</v>
      </c>
      <c r="C527" s="6">
        <v>0</v>
      </c>
      <c r="D527" s="9"/>
      <c r="E527" s="24">
        <v>0.9194444444444444</v>
      </c>
      <c r="F527" s="6">
        <v>0</v>
      </c>
      <c r="G527" s="6"/>
      <c r="H527" s="6"/>
      <c r="I527" s="6">
        <v>3</v>
      </c>
    </row>
    <row r="528" spans="1:9" ht="13" x14ac:dyDescent="0.15">
      <c r="A528" s="6" t="s">
        <v>20</v>
      </c>
      <c r="B528" s="4" t="s">
        <v>37</v>
      </c>
      <c r="C528" s="4">
        <v>0</v>
      </c>
      <c r="E528" s="10">
        <v>0.9194444444444444</v>
      </c>
      <c r="F528" s="4">
        <v>0</v>
      </c>
      <c r="I528" s="4">
        <v>3</v>
      </c>
    </row>
    <row r="529" spans="1:9" ht="13" x14ac:dyDescent="0.15">
      <c r="A529" s="6" t="s">
        <v>20</v>
      </c>
      <c r="B529" s="4" t="s">
        <v>18</v>
      </c>
      <c r="C529" s="4">
        <v>0</v>
      </c>
      <c r="E529" s="10">
        <v>0.9194444444444444</v>
      </c>
      <c r="F529" s="4">
        <v>0</v>
      </c>
      <c r="I529" s="4">
        <v>3</v>
      </c>
    </row>
    <row r="530" spans="1:9" ht="13" x14ac:dyDescent="0.15">
      <c r="A530" s="25" t="s">
        <v>40</v>
      </c>
      <c r="B530" s="25" t="s">
        <v>48</v>
      </c>
      <c r="C530" s="25">
        <v>0</v>
      </c>
      <c r="D530" s="25"/>
      <c r="E530" s="30">
        <v>0.9194444444444444</v>
      </c>
      <c r="F530" s="25">
        <v>0</v>
      </c>
      <c r="G530" s="25"/>
      <c r="H530" s="25"/>
      <c r="I530" s="25"/>
    </row>
    <row r="531" spans="1:9" ht="13" x14ac:dyDescent="0.15">
      <c r="A531" s="4" t="s">
        <v>40</v>
      </c>
      <c r="B531" s="4" t="s">
        <v>48</v>
      </c>
      <c r="C531" s="4">
        <v>0</v>
      </c>
      <c r="E531" s="10">
        <v>0.9194444444444444</v>
      </c>
      <c r="F531" s="4">
        <v>0</v>
      </c>
    </row>
    <row r="532" spans="1:9" ht="13" x14ac:dyDescent="0.15">
      <c r="A532" s="4" t="s">
        <v>40</v>
      </c>
      <c r="B532" s="4" t="s">
        <v>48</v>
      </c>
      <c r="C532" s="4">
        <v>0</v>
      </c>
      <c r="E532" s="10">
        <v>0.9194444444444444</v>
      </c>
      <c r="F532" s="4">
        <v>0</v>
      </c>
    </row>
    <row r="533" spans="1:9" ht="13" x14ac:dyDescent="0.15">
      <c r="A533" s="6" t="s">
        <v>20</v>
      </c>
      <c r="B533" s="6" t="s">
        <v>23</v>
      </c>
      <c r="C533" s="6">
        <v>0</v>
      </c>
      <c r="D533" s="9"/>
      <c r="E533" s="10">
        <v>0.95833333333333337</v>
      </c>
      <c r="F533" s="6">
        <v>1</v>
      </c>
      <c r="G533" s="6"/>
      <c r="H533" s="6"/>
      <c r="I533" s="6">
        <v>3</v>
      </c>
    </row>
    <row r="534" spans="1:9" ht="13" x14ac:dyDescent="0.15">
      <c r="A534" s="6" t="s">
        <v>20</v>
      </c>
      <c r="B534" s="4" t="s">
        <v>37</v>
      </c>
      <c r="C534" s="4">
        <v>0</v>
      </c>
      <c r="E534" s="10">
        <v>0.95833333333333337</v>
      </c>
      <c r="F534" s="4">
        <v>1</v>
      </c>
      <c r="I534" s="4">
        <v>3</v>
      </c>
    </row>
    <row r="535" spans="1:9" ht="13" x14ac:dyDescent="0.15">
      <c r="A535" s="6" t="s">
        <v>20</v>
      </c>
      <c r="B535" s="4" t="s">
        <v>18</v>
      </c>
      <c r="C535" s="4">
        <v>0</v>
      </c>
      <c r="E535" s="10">
        <v>0.95833333333333337</v>
      </c>
      <c r="F535" s="4">
        <v>1</v>
      </c>
      <c r="I535" s="4">
        <v>3</v>
      </c>
    </row>
    <row r="536" spans="1:9" ht="13" x14ac:dyDescent="0.15">
      <c r="A536" s="4" t="s">
        <v>40</v>
      </c>
      <c r="B536" s="4" t="s">
        <v>41</v>
      </c>
      <c r="C536" s="4"/>
      <c r="D536" s="9"/>
      <c r="E536" s="10">
        <v>0.95833333333333337</v>
      </c>
      <c r="F536" s="4">
        <v>1</v>
      </c>
      <c r="G536" s="7"/>
      <c r="H536" s="7"/>
      <c r="I536" s="4"/>
    </row>
    <row r="537" spans="1:9" ht="13" x14ac:dyDescent="0.15">
      <c r="A537" s="4" t="s">
        <v>40</v>
      </c>
      <c r="B537" s="4" t="s">
        <v>41</v>
      </c>
      <c r="C537" s="4"/>
      <c r="E537" s="10">
        <v>0.95833333333333337</v>
      </c>
      <c r="F537" s="4">
        <v>0</v>
      </c>
      <c r="I537" s="4"/>
    </row>
    <row r="538" spans="1:9" ht="13" x14ac:dyDescent="0.15">
      <c r="A538" s="4" t="s">
        <v>40</v>
      </c>
      <c r="B538" s="4" t="s">
        <v>41</v>
      </c>
      <c r="E538" s="10">
        <v>0.95833333333333337</v>
      </c>
      <c r="F538" s="4">
        <v>0</v>
      </c>
    </row>
    <row r="539" spans="1:9" ht="13" x14ac:dyDescent="0.15">
      <c r="A539" s="4" t="s">
        <v>40</v>
      </c>
      <c r="B539" s="4" t="s">
        <v>41</v>
      </c>
      <c r="E539" s="10">
        <v>0.95833333333333337</v>
      </c>
      <c r="F539" s="4">
        <v>1</v>
      </c>
    </row>
    <row r="540" spans="1:9" ht="13" x14ac:dyDescent="0.15">
      <c r="A540" s="4" t="s">
        <v>40</v>
      </c>
      <c r="B540" s="4" t="s">
        <v>48</v>
      </c>
      <c r="C540" s="4">
        <v>0</v>
      </c>
      <c r="E540" s="10">
        <v>0.95833333333333337</v>
      </c>
      <c r="F540" s="4">
        <v>1</v>
      </c>
    </row>
    <row r="541" spans="1:9" ht="13" x14ac:dyDescent="0.15">
      <c r="A541" s="4" t="s">
        <v>40</v>
      </c>
      <c r="B541" s="4" t="s">
        <v>48</v>
      </c>
      <c r="C541" s="4">
        <v>0</v>
      </c>
      <c r="E541" s="10">
        <v>0.95833333333333337</v>
      </c>
      <c r="F541" s="4">
        <v>1</v>
      </c>
    </row>
    <row r="542" spans="1:9" ht="13" x14ac:dyDescent="0.15">
      <c r="A542" s="4" t="s">
        <v>40</v>
      </c>
      <c r="B542" s="4" t="s">
        <v>48</v>
      </c>
      <c r="C542" s="4">
        <v>0</v>
      </c>
      <c r="E542" s="10">
        <v>0.95833333333333337</v>
      </c>
      <c r="F542" s="4">
        <v>1</v>
      </c>
    </row>
    <row r="543" spans="1:9" ht="13" x14ac:dyDescent="0.15">
      <c r="A543" s="4" t="s">
        <v>40</v>
      </c>
      <c r="B543" s="4" t="s">
        <v>48</v>
      </c>
      <c r="C543" s="4">
        <v>0</v>
      </c>
      <c r="E543" s="10">
        <v>0.95833333333333337</v>
      </c>
      <c r="F543" s="4">
        <v>1</v>
      </c>
    </row>
    <row r="544" spans="1:9" ht="13" x14ac:dyDescent="0.15">
      <c r="A544" s="25" t="s">
        <v>40</v>
      </c>
      <c r="B544" s="25" t="s">
        <v>48</v>
      </c>
      <c r="C544" s="25">
        <v>0</v>
      </c>
      <c r="D544" s="25"/>
      <c r="E544" s="30">
        <v>0.95833333333333337</v>
      </c>
      <c r="F544" s="25">
        <v>1</v>
      </c>
      <c r="G544" s="25"/>
      <c r="H544" s="25"/>
      <c r="I544" s="25"/>
    </row>
    <row r="545" spans="1:9" ht="13" x14ac:dyDescent="0.15">
      <c r="A545" s="6" t="s">
        <v>20</v>
      </c>
      <c r="B545" s="6" t="s">
        <v>23</v>
      </c>
      <c r="C545" s="6">
        <v>0</v>
      </c>
      <c r="D545" s="9"/>
      <c r="E545" s="24">
        <v>0.95902777777777781</v>
      </c>
      <c r="F545" s="6">
        <v>0</v>
      </c>
      <c r="G545" s="6"/>
      <c r="H545" s="6"/>
      <c r="I545" s="6">
        <v>3</v>
      </c>
    </row>
    <row r="546" spans="1:9" ht="13" x14ac:dyDescent="0.15">
      <c r="A546" s="6" t="s">
        <v>20</v>
      </c>
      <c r="B546" s="4" t="s">
        <v>37</v>
      </c>
      <c r="C546" s="4">
        <v>0</v>
      </c>
      <c r="E546" s="10">
        <v>0.95902777777777781</v>
      </c>
      <c r="F546" s="4">
        <v>0</v>
      </c>
      <c r="I546" s="4">
        <v>3</v>
      </c>
    </row>
    <row r="547" spans="1:9" ht="13" x14ac:dyDescent="0.15">
      <c r="A547" s="6" t="s">
        <v>20</v>
      </c>
      <c r="B547" s="4" t="s">
        <v>18</v>
      </c>
      <c r="C547" s="4">
        <v>0</v>
      </c>
      <c r="E547" s="10">
        <v>0.95902777777777781</v>
      </c>
      <c r="F547" s="4">
        <v>0</v>
      </c>
      <c r="I547" s="4">
        <v>3</v>
      </c>
    </row>
    <row r="548" spans="1:9" ht="13" x14ac:dyDescent="0.15">
      <c r="A548" s="4" t="s">
        <v>40</v>
      </c>
      <c r="B548" s="4" t="s">
        <v>18</v>
      </c>
      <c r="C548" s="4">
        <v>0</v>
      </c>
      <c r="E548" s="10">
        <v>0.95902777777777781</v>
      </c>
      <c r="F548" s="4">
        <v>1</v>
      </c>
      <c r="I548" s="4">
        <v>2</v>
      </c>
    </row>
    <row r="549" spans="1:9" ht="13" x14ac:dyDescent="0.15">
      <c r="A549" s="4" t="s">
        <v>40</v>
      </c>
      <c r="B549" s="4" t="s">
        <v>48</v>
      </c>
      <c r="C549" s="4">
        <v>0</v>
      </c>
      <c r="E549" s="10">
        <v>0.95902777777777781</v>
      </c>
      <c r="F549" s="4">
        <v>1</v>
      </c>
    </row>
    <row r="550" spans="1:9" ht="13" x14ac:dyDescent="0.15">
      <c r="A550" s="4" t="s">
        <v>40</v>
      </c>
      <c r="B550" s="4" t="s">
        <v>48</v>
      </c>
      <c r="C550" s="4">
        <v>0</v>
      </c>
      <c r="E550" s="10">
        <v>0.95902777777777781</v>
      </c>
      <c r="F550" s="4">
        <v>0</v>
      </c>
    </row>
    <row r="551" spans="1:9" ht="13" x14ac:dyDescent="0.15">
      <c r="A551" s="4" t="s">
        <v>40</v>
      </c>
      <c r="B551" s="4" t="s">
        <v>48</v>
      </c>
      <c r="C551" s="4">
        <v>0</v>
      </c>
      <c r="E551" s="10">
        <v>0.95902777777777781</v>
      </c>
      <c r="F551" s="4">
        <v>0</v>
      </c>
    </row>
    <row r="552" spans="1:9" ht="13" x14ac:dyDescent="0.15">
      <c r="A552" s="4" t="s">
        <v>40</v>
      </c>
      <c r="B552" s="4" t="s">
        <v>48</v>
      </c>
      <c r="C552" s="4">
        <v>0</v>
      </c>
      <c r="E552" s="10">
        <v>0.95902777777777781</v>
      </c>
      <c r="F552" s="4">
        <v>0</v>
      </c>
    </row>
    <row r="553" spans="1:9" ht="13" x14ac:dyDescent="0.15">
      <c r="A553" s="4" t="s">
        <v>40</v>
      </c>
      <c r="B553" s="4" t="s">
        <v>48</v>
      </c>
      <c r="C553" s="4">
        <v>0</v>
      </c>
      <c r="E553" s="10">
        <v>0.95902777777777781</v>
      </c>
      <c r="F553" s="4">
        <v>0</v>
      </c>
    </row>
    <row r="554" spans="1:9" ht="13" x14ac:dyDescent="0.15">
      <c r="A554" s="4" t="s">
        <v>40</v>
      </c>
      <c r="B554" s="4" t="s">
        <v>48</v>
      </c>
      <c r="C554" s="4">
        <v>0</v>
      </c>
      <c r="E554" s="10">
        <v>0.95902777777777781</v>
      </c>
      <c r="F554" s="4">
        <v>0</v>
      </c>
    </row>
    <row r="555" spans="1:9" ht="13" x14ac:dyDescent="0.15">
      <c r="A555" s="6" t="s">
        <v>20</v>
      </c>
      <c r="B555" s="6" t="s">
        <v>23</v>
      </c>
      <c r="C555" s="6">
        <v>0</v>
      </c>
      <c r="D555" s="9"/>
      <c r="E555" s="24">
        <v>0.95972222222222225</v>
      </c>
      <c r="F555" s="6">
        <v>0</v>
      </c>
      <c r="G555" s="6"/>
      <c r="H555" s="6"/>
      <c r="I555" s="6">
        <v>3</v>
      </c>
    </row>
    <row r="556" spans="1:9" ht="13" x14ac:dyDescent="0.15">
      <c r="A556" s="6" t="s">
        <v>20</v>
      </c>
      <c r="B556" s="4" t="s">
        <v>37</v>
      </c>
      <c r="C556" s="4">
        <v>0</v>
      </c>
      <c r="E556" s="10">
        <v>0.95972222222222225</v>
      </c>
      <c r="F556" s="4">
        <v>0</v>
      </c>
      <c r="I556" s="4">
        <v>3</v>
      </c>
    </row>
    <row r="557" spans="1:9" ht="13" x14ac:dyDescent="0.15">
      <c r="A557" s="6" t="s">
        <v>20</v>
      </c>
      <c r="B557" s="4" t="s">
        <v>18</v>
      </c>
      <c r="C557" s="4">
        <v>0</v>
      </c>
      <c r="E557" s="10">
        <v>0.95972222222222225</v>
      </c>
      <c r="F557" s="4">
        <v>0</v>
      </c>
      <c r="I557" s="4">
        <v>3</v>
      </c>
    </row>
    <row r="558" spans="1:9" ht="13" x14ac:dyDescent="0.15">
      <c r="A558" s="4" t="s">
        <v>40</v>
      </c>
      <c r="B558" s="4" t="s">
        <v>18</v>
      </c>
      <c r="C558" s="4">
        <v>0</v>
      </c>
      <c r="E558" s="10">
        <v>0.95972222222222225</v>
      </c>
      <c r="F558" s="4">
        <v>0</v>
      </c>
      <c r="I558" s="4">
        <v>2</v>
      </c>
    </row>
    <row r="559" spans="1:9" ht="13" x14ac:dyDescent="0.15">
      <c r="A559" s="4" t="s">
        <v>40</v>
      </c>
      <c r="B559" s="4" t="s">
        <v>48</v>
      </c>
      <c r="C559" s="4">
        <v>0</v>
      </c>
      <c r="E559" s="10">
        <v>0.95972222222222225</v>
      </c>
      <c r="F559" s="4">
        <v>0</v>
      </c>
    </row>
    <row r="560" spans="1:9" ht="13" x14ac:dyDescent="0.15">
      <c r="A560" s="4" t="s">
        <v>40</v>
      </c>
      <c r="B560" s="4" t="s">
        <v>48</v>
      </c>
      <c r="C560" s="4">
        <v>0</v>
      </c>
      <c r="E560" s="10">
        <v>0.95972222222222225</v>
      </c>
      <c r="F560" s="4">
        <v>0</v>
      </c>
    </row>
    <row r="561" spans="1:9" ht="13" x14ac:dyDescent="0.15">
      <c r="A561" s="4" t="s">
        <v>40</v>
      </c>
      <c r="B561" s="4" t="s">
        <v>48</v>
      </c>
      <c r="C561" s="4">
        <v>0</v>
      </c>
      <c r="E561" s="10">
        <v>0.95972222222222225</v>
      </c>
      <c r="F561" s="4">
        <v>0</v>
      </c>
    </row>
    <row r="562" spans="1:9" ht="13" x14ac:dyDescent="0.15">
      <c r="A562" s="4" t="s">
        <v>40</v>
      </c>
      <c r="B562" s="4" t="s">
        <v>48</v>
      </c>
      <c r="C562" s="4">
        <v>0</v>
      </c>
      <c r="E562" s="10">
        <v>0.95972222222222225</v>
      </c>
      <c r="F562" s="4">
        <v>0</v>
      </c>
    </row>
    <row r="563" spans="1:9" ht="13" x14ac:dyDescent="0.15">
      <c r="A563" s="4" t="s">
        <v>40</v>
      </c>
      <c r="B563" s="4" t="s">
        <v>48</v>
      </c>
      <c r="C563" s="4">
        <v>0</v>
      </c>
      <c r="E563" s="10">
        <v>0.95972222222222225</v>
      </c>
      <c r="F563" s="4">
        <v>0</v>
      </c>
    </row>
    <row r="564" spans="1:9" ht="13" x14ac:dyDescent="0.15">
      <c r="A564" s="6" t="s">
        <v>20</v>
      </c>
      <c r="B564" s="6" t="s">
        <v>23</v>
      </c>
      <c r="C564" s="6">
        <v>0</v>
      </c>
      <c r="D564" s="9"/>
      <c r="E564" s="24">
        <v>0.9604166666666667</v>
      </c>
      <c r="F564" s="6">
        <v>0</v>
      </c>
      <c r="G564" s="6"/>
      <c r="H564" s="6"/>
      <c r="I564" s="6">
        <v>3</v>
      </c>
    </row>
    <row r="565" spans="1:9" ht="13" x14ac:dyDescent="0.15">
      <c r="A565" s="6" t="s">
        <v>20</v>
      </c>
      <c r="B565" s="4" t="s">
        <v>37</v>
      </c>
      <c r="C565" s="4">
        <v>0</v>
      </c>
      <c r="E565" s="10">
        <v>0.9604166666666667</v>
      </c>
      <c r="F565" s="4">
        <v>0</v>
      </c>
      <c r="I565" s="4">
        <v>3</v>
      </c>
    </row>
    <row r="566" spans="1:9" ht="13" x14ac:dyDescent="0.15">
      <c r="A566" s="6" t="s">
        <v>20</v>
      </c>
      <c r="B566" s="4" t="s">
        <v>18</v>
      </c>
      <c r="C566" s="4">
        <v>0</v>
      </c>
      <c r="E566" s="10">
        <v>0.9604166666666667</v>
      </c>
      <c r="F566" s="4">
        <v>0</v>
      </c>
      <c r="I566" s="4">
        <v>3</v>
      </c>
    </row>
    <row r="567" spans="1:9" ht="13" x14ac:dyDescent="0.15">
      <c r="A567" s="4" t="s">
        <v>40</v>
      </c>
      <c r="B567" s="4" t="s">
        <v>18</v>
      </c>
      <c r="C567" s="4">
        <v>0</v>
      </c>
      <c r="E567" s="10">
        <v>0.9604166666666667</v>
      </c>
      <c r="F567" s="4">
        <v>0</v>
      </c>
      <c r="I567" s="4">
        <v>2</v>
      </c>
    </row>
    <row r="568" spans="1:9" ht="13" x14ac:dyDescent="0.15">
      <c r="A568" s="4" t="s">
        <v>40</v>
      </c>
      <c r="B568" s="4" t="s">
        <v>48</v>
      </c>
      <c r="C568" s="4">
        <v>0</v>
      </c>
      <c r="E568" s="10">
        <v>0.9604166666666667</v>
      </c>
      <c r="F568" s="4">
        <v>0</v>
      </c>
    </row>
    <row r="569" spans="1:9" ht="13" x14ac:dyDescent="0.15">
      <c r="A569" s="4" t="s">
        <v>40</v>
      </c>
      <c r="B569" s="4" t="s">
        <v>48</v>
      </c>
      <c r="C569" s="4">
        <v>0</v>
      </c>
      <c r="E569" s="10">
        <v>0.9604166666666667</v>
      </c>
      <c r="F569" s="4">
        <v>0</v>
      </c>
    </row>
    <row r="570" spans="1:9" ht="13" x14ac:dyDescent="0.15">
      <c r="A570" s="4" t="s">
        <v>40</v>
      </c>
      <c r="B570" s="4" t="s">
        <v>48</v>
      </c>
      <c r="C570" s="4">
        <v>0</v>
      </c>
      <c r="E570" s="10">
        <v>0.9604166666666667</v>
      </c>
      <c r="F570" s="4">
        <v>0</v>
      </c>
    </row>
    <row r="571" spans="1:9" ht="13" x14ac:dyDescent="0.15">
      <c r="A571" s="4" t="s">
        <v>40</v>
      </c>
      <c r="B571" s="4" t="s">
        <v>48</v>
      </c>
      <c r="C571" s="4">
        <v>0</v>
      </c>
      <c r="E571" s="10">
        <v>0.9604166666666667</v>
      </c>
      <c r="F571" s="4">
        <v>0</v>
      </c>
    </row>
    <row r="572" spans="1:9" ht="13" x14ac:dyDescent="0.15">
      <c r="A572" s="4" t="s">
        <v>40</v>
      </c>
      <c r="B572" s="4" t="s">
        <v>48</v>
      </c>
      <c r="C572" s="4">
        <v>0</v>
      </c>
      <c r="E572" s="10">
        <v>0.9604166666666667</v>
      </c>
      <c r="F572" s="4">
        <v>0</v>
      </c>
    </row>
    <row r="573" spans="1:9" ht="13" x14ac:dyDescent="0.15">
      <c r="A573" s="6" t="s">
        <v>20</v>
      </c>
      <c r="B573" s="6" t="s">
        <v>23</v>
      </c>
      <c r="C573" s="6">
        <v>0</v>
      </c>
      <c r="D573" s="9"/>
      <c r="E573" s="24">
        <v>0.96111111111111114</v>
      </c>
      <c r="F573" s="6">
        <v>0</v>
      </c>
      <c r="G573" s="6"/>
      <c r="H573" s="6"/>
      <c r="I573" s="6">
        <v>3</v>
      </c>
    </row>
    <row r="574" spans="1:9" ht="13" x14ac:dyDescent="0.15">
      <c r="A574" s="6" t="s">
        <v>20</v>
      </c>
      <c r="B574" s="4" t="s">
        <v>37</v>
      </c>
      <c r="C574" s="4">
        <v>0</v>
      </c>
      <c r="E574" s="10">
        <v>0.96111111111111114</v>
      </c>
      <c r="F574" s="4">
        <v>0</v>
      </c>
      <c r="I574" s="4">
        <v>3</v>
      </c>
    </row>
    <row r="575" spans="1:9" ht="13" x14ac:dyDescent="0.15">
      <c r="A575" s="6" t="s">
        <v>20</v>
      </c>
      <c r="B575" s="4" t="s">
        <v>18</v>
      </c>
      <c r="C575" s="4">
        <v>0</v>
      </c>
      <c r="E575" s="10">
        <v>0.96111111111111114</v>
      </c>
      <c r="F575" s="4">
        <v>0</v>
      </c>
      <c r="I575" s="4">
        <v>3</v>
      </c>
    </row>
    <row r="576" spans="1:9" ht="13" x14ac:dyDescent="0.15">
      <c r="A576" s="4" t="s">
        <v>40</v>
      </c>
      <c r="B576" s="4" t="s">
        <v>48</v>
      </c>
      <c r="C576" s="4">
        <v>0</v>
      </c>
      <c r="E576" s="10">
        <v>0.96111111111111114</v>
      </c>
      <c r="F576" s="4">
        <v>0</v>
      </c>
    </row>
    <row r="577" spans="1:9" ht="13" x14ac:dyDescent="0.15">
      <c r="A577" s="29" t="s">
        <v>40</v>
      </c>
      <c r="B577" s="29" t="s">
        <v>48</v>
      </c>
      <c r="C577" s="29">
        <v>0</v>
      </c>
      <c r="D577" s="29"/>
      <c r="E577" s="34">
        <v>0.96111111111111114</v>
      </c>
      <c r="F577" s="29">
        <v>0</v>
      </c>
      <c r="G577" s="29"/>
      <c r="H577" s="29"/>
      <c r="I577" s="29"/>
    </row>
    <row r="578" spans="1:9" ht="13" x14ac:dyDescent="0.15">
      <c r="A578" s="4" t="s">
        <v>40</v>
      </c>
      <c r="B578" s="4" t="s">
        <v>48</v>
      </c>
      <c r="C578" s="4">
        <v>0</v>
      </c>
      <c r="E578" s="10">
        <v>0.96111111111111114</v>
      </c>
      <c r="F578" s="4">
        <v>0</v>
      </c>
    </row>
    <row r="579" spans="1:9" ht="13" x14ac:dyDescent="0.15">
      <c r="A579" s="4" t="s">
        <v>40</v>
      </c>
      <c r="B579" s="4" t="s">
        <v>48</v>
      </c>
      <c r="C579" s="4">
        <v>0</v>
      </c>
      <c r="E579" s="10">
        <v>0.96111111111111114</v>
      </c>
      <c r="F579" s="4">
        <v>0</v>
      </c>
    </row>
    <row r="580" spans="1:9" ht="13" x14ac:dyDescent="0.15">
      <c r="A580" s="25" t="s">
        <v>40</v>
      </c>
      <c r="B580" s="25" t="s">
        <v>48</v>
      </c>
      <c r="C580" s="25">
        <v>0</v>
      </c>
      <c r="D580" s="25"/>
      <c r="E580" s="30">
        <v>0.96111111111111114</v>
      </c>
      <c r="F580" s="25">
        <v>0</v>
      </c>
      <c r="G580" s="25"/>
      <c r="H580" s="25"/>
      <c r="I580" s="25"/>
    </row>
    <row r="581" spans="1:9" ht="13" x14ac:dyDescent="0.15">
      <c r="A581" s="6"/>
      <c r="B581" s="1" t="s">
        <v>32</v>
      </c>
      <c r="C581" s="17">
        <f>C580</f>
        <v>0</v>
      </c>
      <c r="D581" s="18"/>
      <c r="E581" s="19"/>
      <c r="F581" s="17">
        <f>F580</f>
        <v>0</v>
      </c>
      <c r="G581" s="21">
        <f>COUNT(F580)</f>
        <v>1</v>
      </c>
      <c r="H581" s="21"/>
      <c r="I581" s="1"/>
    </row>
    <row r="582" spans="1:9" ht="13" x14ac:dyDescent="0.15">
      <c r="A582" s="25"/>
      <c r="B582" s="26" t="s">
        <v>51</v>
      </c>
      <c r="C582" s="26">
        <f>SUM(C557:C581)</f>
        <v>0</v>
      </c>
      <c r="D582" s="26"/>
      <c r="E582" s="27"/>
      <c r="F582" s="26">
        <f>SUM(F557:F581)</f>
        <v>0</v>
      </c>
      <c r="G582" s="26">
        <f>COUNT(F557:F581)</f>
        <v>25</v>
      </c>
      <c r="H582" s="26"/>
      <c r="I582" s="26"/>
    </row>
    <row r="583" spans="1:9" ht="13" x14ac:dyDescent="0.15">
      <c r="B583" s="2" t="s">
        <v>32</v>
      </c>
      <c r="C583" s="2">
        <f>SUM(C572:C582)</f>
        <v>0</v>
      </c>
      <c r="D583" s="2"/>
      <c r="E583" s="2"/>
      <c r="F583" s="2">
        <f>SUM(F572:F582)</f>
        <v>0</v>
      </c>
      <c r="G583" s="2">
        <f>COUNT(F572:F582)</f>
        <v>11</v>
      </c>
      <c r="H583" s="2"/>
      <c r="I583" s="2"/>
    </row>
    <row r="584" spans="1:9" ht="13" x14ac:dyDescent="0.15">
      <c r="A584" s="25"/>
      <c r="B584" s="26" t="s">
        <v>32</v>
      </c>
      <c r="C584" s="26">
        <f>SUM(C559:C583)</f>
        <v>0</v>
      </c>
      <c r="D584" s="26"/>
      <c r="E584" s="26"/>
      <c r="F584" s="26">
        <f>SUM(F559:F583)</f>
        <v>0</v>
      </c>
      <c r="G584" s="26">
        <f>COUNT(F559:F583)</f>
        <v>25</v>
      </c>
      <c r="H584" s="26"/>
      <c r="I584" s="26"/>
    </row>
    <row r="585" spans="1:9" ht="13" x14ac:dyDescent="0.15">
      <c r="B585" s="2" t="s">
        <v>32</v>
      </c>
      <c r="C585" s="2">
        <f>SUM(C580:C584)</f>
        <v>0</v>
      </c>
      <c r="F585" s="2">
        <f>SUM(F580:F584)</f>
        <v>0</v>
      </c>
      <c r="G585" s="2">
        <f>COUNT(F580:F584)</f>
        <v>5</v>
      </c>
    </row>
    <row r="586" spans="1:9" ht="13" x14ac:dyDescent="0.15">
      <c r="A586" s="52"/>
      <c r="B586" s="53" t="s">
        <v>32</v>
      </c>
      <c r="C586" s="53">
        <f>SUM(C584:C585)</f>
        <v>0</v>
      </c>
      <c r="D586" s="53"/>
      <c r="E586" s="65"/>
      <c r="F586" s="53">
        <f>SUM(F584:F585)</f>
        <v>0</v>
      </c>
      <c r="G586" s="53">
        <f>COUNT(F584:F585)</f>
        <v>2</v>
      </c>
      <c r="H586" s="52"/>
      <c r="I586" s="52"/>
    </row>
    <row r="587" spans="1:9" ht="13" x14ac:dyDescent="0.15">
      <c r="B587" s="2" t="s">
        <v>32</v>
      </c>
      <c r="C587" s="2">
        <f>SUM(C584:C586)</f>
        <v>0</v>
      </c>
      <c r="D587" s="2"/>
      <c r="E587" s="2"/>
      <c r="F587" s="2">
        <f>SUM(F584:F586)</f>
        <v>0</v>
      </c>
      <c r="G587" s="2">
        <f>COUNT(F584:F586)</f>
        <v>3</v>
      </c>
      <c r="H587" s="12"/>
    </row>
    <row r="588" spans="1:9" ht="13" x14ac:dyDescent="0.15">
      <c r="B588" s="2" t="s">
        <v>32</v>
      </c>
      <c r="C588" s="2">
        <f>SUM(C586:C587)</f>
        <v>0</v>
      </c>
      <c r="D588" s="2"/>
      <c r="E588" s="2"/>
      <c r="F588" s="2">
        <f>SUM(F586:F587)</f>
        <v>0</v>
      </c>
      <c r="G588" s="2">
        <f>COUNT(F586:F587)</f>
        <v>2</v>
      </c>
    </row>
    <row r="589" spans="1:9" ht="13" x14ac:dyDescent="0.15">
      <c r="B589" s="2" t="s">
        <v>32</v>
      </c>
      <c r="C589" s="2">
        <f>SUM(C561:C588)</f>
        <v>0</v>
      </c>
      <c r="F589" s="2">
        <f>SUM(F561:F588)</f>
        <v>0</v>
      </c>
      <c r="G589" s="2">
        <f>COUNT(F561:F588)</f>
        <v>28</v>
      </c>
    </row>
    <row r="590" spans="1:9" ht="13" x14ac:dyDescent="0.15">
      <c r="A590" s="25"/>
      <c r="B590" s="26" t="s">
        <v>32</v>
      </c>
      <c r="C590" s="26">
        <f>SUM(C578:C589)</f>
        <v>0</v>
      </c>
      <c r="D590" s="25"/>
      <c r="E590" s="25"/>
      <c r="F590" s="26">
        <f>SUM(F578:F589)</f>
        <v>0</v>
      </c>
      <c r="G590" s="26">
        <f>COUNT(F578:F589)</f>
        <v>12</v>
      </c>
      <c r="H590" s="25"/>
      <c r="I590" s="25"/>
    </row>
    <row r="591" spans="1:9" ht="13" x14ac:dyDescent="0.15">
      <c r="A591" s="4"/>
      <c r="B591" s="2" t="s">
        <v>32</v>
      </c>
      <c r="C591" s="4">
        <v>0</v>
      </c>
      <c r="D591" s="9"/>
      <c r="E591" s="10"/>
      <c r="F591" s="4">
        <v>7</v>
      </c>
      <c r="G591" s="78">
        <f>COUNT(F564:F590)</f>
        <v>27</v>
      </c>
      <c r="H591" s="79"/>
      <c r="I591" s="4"/>
    </row>
    <row r="592" spans="1:9" ht="13" x14ac:dyDescent="0.15">
      <c r="B592" s="2" t="s">
        <v>32</v>
      </c>
      <c r="C592" s="2">
        <f>SUM(C567:C571)</f>
        <v>0</v>
      </c>
      <c r="D592" s="2"/>
      <c r="E592" s="2"/>
      <c r="F592" s="2">
        <v>5</v>
      </c>
      <c r="G592" s="2">
        <f t="shared" ref="G592:G593" si="0">COUNT(F567:F591)</f>
        <v>25</v>
      </c>
    </row>
    <row r="593" spans="1:9" ht="13" x14ac:dyDescent="0.15">
      <c r="B593" s="2" t="s">
        <v>51</v>
      </c>
      <c r="C593" s="2"/>
      <c r="D593" s="2"/>
      <c r="E593" s="2"/>
      <c r="F593" s="2">
        <v>4</v>
      </c>
      <c r="G593" s="2">
        <f t="shared" si="0"/>
        <v>25</v>
      </c>
    </row>
    <row r="594" spans="1:9" ht="13" x14ac:dyDescent="0.15">
      <c r="A594" s="4" t="s">
        <v>40</v>
      </c>
      <c r="B594" s="4" t="s">
        <v>41</v>
      </c>
      <c r="F594" s="4">
        <v>0</v>
      </c>
    </row>
    <row r="595" spans="1:9" ht="13" x14ac:dyDescent="0.15">
      <c r="B595" s="2" t="s">
        <v>51</v>
      </c>
      <c r="C595" s="2"/>
      <c r="D595" s="2"/>
      <c r="E595" s="2"/>
      <c r="F595" s="2">
        <v>6</v>
      </c>
      <c r="G595" s="2">
        <f>COUNT(F569:F594)</f>
        <v>26</v>
      </c>
    </row>
    <row r="596" spans="1:9" ht="13" x14ac:dyDescent="0.15">
      <c r="A596" s="25"/>
      <c r="B596" s="26" t="s">
        <v>32</v>
      </c>
      <c r="C596" s="26">
        <v>1</v>
      </c>
      <c r="D596" s="50"/>
      <c r="E596" s="27"/>
      <c r="F596" s="26">
        <v>1</v>
      </c>
      <c r="G596" s="26">
        <f>COUNT(F592:F595)</f>
        <v>4</v>
      </c>
      <c r="H596" s="25"/>
      <c r="I596" s="25"/>
    </row>
    <row r="597" spans="1:9" ht="13" x14ac:dyDescent="0.15">
      <c r="B597" s="2" t="s">
        <v>32</v>
      </c>
      <c r="C597" s="2">
        <v>0</v>
      </c>
      <c r="D597" s="2"/>
      <c r="E597" s="2"/>
      <c r="F597" s="2">
        <f>SUM(F592:F596)</f>
        <v>16</v>
      </c>
      <c r="G597" s="2">
        <f>COUNT(F592:F596)</f>
        <v>5</v>
      </c>
      <c r="H597" s="12"/>
    </row>
    <row r="598" spans="1:9" ht="13" x14ac:dyDescent="0.15">
      <c r="B598" s="2" t="s">
        <v>32</v>
      </c>
      <c r="C598" s="2">
        <v>0</v>
      </c>
      <c r="F598" s="2">
        <f>SUM(F596:F597)</f>
        <v>17</v>
      </c>
      <c r="G598" s="2">
        <f>COUNT(F596:F597)</f>
        <v>2</v>
      </c>
    </row>
    <row r="599" spans="1:9" ht="13" x14ac:dyDescent="0.15">
      <c r="B599" s="2" t="s">
        <v>32</v>
      </c>
      <c r="C599" s="2">
        <v>0</v>
      </c>
      <c r="F599" s="2">
        <f>SUM(F596:F598)</f>
        <v>34</v>
      </c>
      <c r="G599" s="2">
        <f>COUNT(F596:F598)</f>
        <v>3</v>
      </c>
    </row>
    <row r="600" spans="1:9" ht="13" x14ac:dyDescent="0.15">
      <c r="B600" s="2" t="s">
        <v>32</v>
      </c>
      <c r="C600" s="2">
        <v>0</v>
      </c>
      <c r="F600" s="2">
        <f>SUM(F596:F599)</f>
        <v>68</v>
      </c>
      <c r="G600" s="2">
        <f>COUNT(F596:F599)</f>
        <v>4</v>
      </c>
    </row>
    <row r="601" spans="1:9" ht="13" x14ac:dyDescent="0.15">
      <c r="B601" s="2" t="s">
        <v>71</v>
      </c>
      <c r="C601" s="2">
        <v>0</v>
      </c>
      <c r="F601" s="2">
        <f>SUM(F557:F600)</f>
        <v>158</v>
      </c>
      <c r="G601" s="2">
        <f>COUNT(F557:F600)</f>
        <v>44</v>
      </c>
    </row>
    <row r="602" spans="1:9" ht="13" x14ac:dyDescent="0.15">
      <c r="B602" s="2" t="s">
        <v>71</v>
      </c>
      <c r="C602" s="2">
        <v>0</v>
      </c>
      <c r="F602" s="2">
        <f>SUM(F549:F601)</f>
        <v>317</v>
      </c>
      <c r="G602" s="2">
        <f>COUNT(F549:F601)</f>
        <v>53</v>
      </c>
    </row>
    <row r="603" spans="1:9" ht="13" x14ac:dyDescent="0.15">
      <c r="B603" s="2" t="s">
        <v>71</v>
      </c>
      <c r="C603" s="2">
        <f>SUM(C533:C602)</f>
        <v>1</v>
      </c>
      <c r="F603" s="2">
        <f>SUM(F533:F602)</f>
        <v>645</v>
      </c>
      <c r="G603" s="2">
        <f>COUNT(F533:F602)</f>
        <v>70</v>
      </c>
    </row>
    <row r="604" spans="1:9" ht="13" x14ac:dyDescent="0.15">
      <c r="A604" s="25"/>
      <c r="B604" s="26" t="s">
        <v>71</v>
      </c>
      <c r="C604" s="26">
        <f>SUM(C551:C603)</f>
        <v>2</v>
      </c>
      <c r="D604" s="25"/>
      <c r="E604" s="25"/>
      <c r="F604" s="26">
        <f>SUM(F551:F603)</f>
        <v>1278</v>
      </c>
      <c r="G604" s="26">
        <f>COUNT(F551:F603)</f>
        <v>53</v>
      </c>
      <c r="H604" s="25"/>
      <c r="I604" s="25"/>
    </row>
    <row r="605" spans="1:9" ht="13" x14ac:dyDescent="0.15">
      <c r="B605" s="2" t="s">
        <v>71</v>
      </c>
      <c r="C605" s="2">
        <f>SUM(C555:C604)</f>
        <v>4</v>
      </c>
      <c r="F605" s="2">
        <f>SUM(F555:F604)</f>
        <v>2556</v>
      </c>
      <c r="G605" s="2">
        <f>COUNT(F555:F604)</f>
        <v>50</v>
      </c>
      <c r="H605" s="12"/>
    </row>
    <row r="606" spans="1:9" ht="13" x14ac:dyDescent="0.15">
      <c r="B606" s="2" t="s">
        <v>71</v>
      </c>
      <c r="C606" s="2">
        <f>SUM(C593:C605)</f>
        <v>8</v>
      </c>
      <c r="F606" s="2">
        <f>SUM(F593:F605)</f>
        <v>5100</v>
      </c>
      <c r="G606" s="2">
        <f>COUNT(F593:F605)</f>
        <v>13</v>
      </c>
    </row>
    <row r="607" spans="1:9" ht="13" x14ac:dyDescent="0.15">
      <c r="B607" s="2" t="s">
        <v>71</v>
      </c>
      <c r="C607" s="2">
        <f>SUM(C575:C606)</f>
        <v>16</v>
      </c>
      <c r="F607" s="2">
        <f>SUM(F575:F606)</f>
        <v>10212</v>
      </c>
      <c r="G607" s="2">
        <f>COUNT(F575:F606)</f>
        <v>32</v>
      </c>
    </row>
    <row r="608" spans="1:9" ht="13" x14ac:dyDescent="0.15">
      <c r="B608" s="2" t="s">
        <v>71</v>
      </c>
      <c r="C608" s="2">
        <v>0</v>
      </c>
      <c r="F608" s="2">
        <v>1</v>
      </c>
      <c r="G608" s="2">
        <f>COUNT(F606:F607)</f>
        <v>2</v>
      </c>
    </row>
    <row r="609" spans="1:9" ht="13" x14ac:dyDescent="0.15">
      <c r="B609" s="2" t="s">
        <v>71</v>
      </c>
      <c r="C609" s="2">
        <v>0</v>
      </c>
      <c r="F609" s="2">
        <v>1</v>
      </c>
      <c r="G609" s="2">
        <f t="shared" ref="G609:G611" si="1">COUNT(F608)</f>
        <v>1</v>
      </c>
    </row>
    <row r="610" spans="1:9" ht="13" x14ac:dyDescent="0.15">
      <c r="B610" s="2" t="s">
        <v>71</v>
      </c>
      <c r="C610" s="2">
        <v>0</v>
      </c>
      <c r="F610" s="2">
        <v>1</v>
      </c>
      <c r="G610" s="2">
        <f t="shared" si="1"/>
        <v>1</v>
      </c>
    </row>
    <row r="611" spans="1:9" ht="13" x14ac:dyDescent="0.15">
      <c r="B611" s="2" t="s">
        <v>71</v>
      </c>
      <c r="C611" s="2">
        <v>0</v>
      </c>
      <c r="F611" s="2">
        <v>1</v>
      </c>
      <c r="G611" s="2">
        <f t="shared" si="1"/>
        <v>1</v>
      </c>
    </row>
    <row r="612" spans="1:9" ht="13" x14ac:dyDescent="0.15">
      <c r="B612" s="2" t="s">
        <v>71</v>
      </c>
      <c r="C612" s="2"/>
      <c r="D612" s="18"/>
      <c r="E612" s="19"/>
      <c r="F612" s="2">
        <f>SUM(F609:F611)</f>
        <v>3</v>
      </c>
      <c r="G612" s="2">
        <f>COUNT(F609:F611)</f>
        <v>3</v>
      </c>
      <c r="H612" s="2"/>
    </row>
    <row r="613" spans="1:9" ht="13" x14ac:dyDescent="0.15">
      <c r="B613" s="2" t="s">
        <v>71</v>
      </c>
      <c r="C613" s="2"/>
      <c r="D613" s="2"/>
      <c r="E613" s="2"/>
      <c r="F613" s="2"/>
      <c r="G613" s="2">
        <f>COUNT(F608:F612)</f>
        <v>5</v>
      </c>
      <c r="H613" s="2"/>
      <c r="I613" s="2"/>
    </row>
    <row r="614" spans="1:9" ht="13" x14ac:dyDescent="0.15">
      <c r="B614" s="2" t="s">
        <v>71</v>
      </c>
      <c r="C614" s="2"/>
      <c r="D614" s="2"/>
      <c r="E614" s="2"/>
      <c r="F614" s="2">
        <f>SUM(F607:F613)</f>
        <v>10219</v>
      </c>
      <c r="G614" s="2">
        <f>COUNT(F607:F613)</f>
        <v>6</v>
      </c>
      <c r="H614" s="2"/>
      <c r="I614" s="2"/>
    </row>
    <row r="615" spans="1:9" ht="13" x14ac:dyDescent="0.15">
      <c r="A615" s="29"/>
      <c r="B615" s="2" t="s">
        <v>71</v>
      </c>
      <c r="C615" s="31"/>
      <c r="D615" s="31"/>
      <c r="E615" s="31"/>
      <c r="F615" s="31">
        <f>SUM(F605:F614)</f>
        <v>28094</v>
      </c>
      <c r="G615" s="31">
        <f>COUNT(F605:F614)</f>
        <v>9</v>
      </c>
      <c r="H615" s="31"/>
      <c r="I615" s="31"/>
    </row>
    <row r="616" spans="1:9" ht="13" x14ac:dyDescent="0.15">
      <c r="B616" s="5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87"/>
  <sheetViews>
    <sheetView workbookViewId="0"/>
  </sheetViews>
  <sheetFormatPr baseColWidth="10" defaultColWidth="12.6640625" defaultRowHeight="15.75" customHeight="1" x14ac:dyDescent="0.15"/>
  <cols>
    <col min="1" max="1" width="18.1640625" customWidth="1"/>
    <col min="7" max="7" width="14.83203125" customWidth="1"/>
  </cols>
  <sheetData>
    <row r="1" spans="1:12" ht="15.75" customHeight="1" x14ac:dyDescent="0.15">
      <c r="A1" s="2" t="s">
        <v>1</v>
      </c>
      <c r="B1" s="4" t="s">
        <v>7</v>
      </c>
      <c r="H1" s="4"/>
    </row>
    <row r="2" spans="1:12" ht="15.75" customHeight="1" x14ac:dyDescent="0.15">
      <c r="B2" s="4" t="s">
        <v>12</v>
      </c>
    </row>
    <row r="3" spans="1:12" ht="15.75" customHeight="1" x14ac:dyDescent="0.15">
      <c r="B3" s="4" t="s">
        <v>16</v>
      </c>
    </row>
    <row r="4" spans="1:12" ht="15.75" customHeight="1" x14ac:dyDescent="0.15">
      <c r="B4" s="4" t="s">
        <v>19</v>
      </c>
      <c r="D4" s="4" t="s">
        <v>22</v>
      </c>
    </row>
    <row r="5" spans="1:12" ht="15.75" customHeight="1" x14ac:dyDescent="0.15">
      <c r="B5" s="4" t="s">
        <v>24</v>
      </c>
    </row>
    <row r="6" spans="1:12" ht="15.75" customHeight="1" x14ac:dyDescent="0.15">
      <c r="A6" s="2" t="s">
        <v>25</v>
      </c>
    </row>
    <row r="7" spans="1:12" ht="15.75" customHeight="1" x14ac:dyDescent="0.15">
      <c r="B7" s="4" t="s">
        <v>26</v>
      </c>
    </row>
    <row r="9" spans="1:12" ht="15.75" customHeight="1" x14ac:dyDescent="0.15">
      <c r="A9" s="2" t="s">
        <v>0</v>
      </c>
      <c r="B9" s="2" t="s">
        <v>27</v>
      </c>
      <c r="C9" s="3" t="s">
        <v>5</v>
      </c>
      <c r="D9" s="2" t="s">
        <v>4</v>
      </c>
      <c r="E9" s="3" t="s">
        <v>28</v>
      </c>
      <c r="F9" s="3" t="s">
        <v>30</v>
      </c>
      <c r="G9" s="3" t="s">
        <v>31</v>
      </c>
      <c r="H9" s="3" t="s">
        <v>9</v>
      </c>
      <c r="I9" s="3" t="s">
        <v>13</v>
      </c>
      <c r="J9" s="3" t="s">
        <v>17</v>
      </c>
      <c r="K9" s="3" t="s">
        <v>33</v>
      </c>
      <c r="L9" s="3"/>
    </row>
    <row r="10" spans="1:12" ht="15.75" customHeight="1" x14ac:dyDescent="0.15">
      <c r="A10" s="4" t="s">
        <v>34</v>
      </c>
      <c r="B10" s="4" t="s">
        <v>20</v>
      </c>
      <c r="C10" s="9">
        <v>45813</v>
      </c>
      <c r="D10" s="4" t="s">
        <v>35</v>
      </c>
      <c r="E10" s="4" t="s">
        <v>36</v>
      </c>
      <c r="F10" s="10">
        <v>0.5</v>
      </c>
      <c r="G10" s="4" t="s">
        <v>35</v>
      </c>
      <c r="H10" s="4" t="s">
        <v>38</v>
      </c>
      <c r="I10" s="16" t="s">
        <v>21</v>
      </c>
      <c r="J10" s="4">
        <v>1</v>
      </c>
    </row>
    <row r="11" spans="1:12" ht="15.75" customHeight="1" x14ac:dyDescent="0.15">
      <c r="A11" s="4" t="s">
        <v>34</v>
      </c>
      <c r="B11" s="4" t="s">
        <v>20</v>
      </c>
      <c r="C11" s="9">
        <v>45813</v>
      </c>
      <c r="D11" s="4" t="s">
        <v>35</v>
      </c>
      <c r="E11" s="4" t="s">
        <v>36</v>
      </c>
      <c r="F11" s="10">
        <v>0.54166666666666663</v>
      </c>
      <c r="G11" s="4" t="s">
        <v>35</v>
      </c>
      <c r="H11" s="4" t="s">
        <v>38</v>
      </c>
      <c r="I11" s="16" t="s">
        <v>21</v>
      </c>
      <c r="J11" s="4">
        <v>1</v>
      </c>
    </row>
    <row r="12" spans="1:12" ht="15.75" customHeight="1" x14ac:dyDescent="0.15">
      <c r="A12" s="4" t="s">
        <v>34</v>
      </c>
      <c r="B12" s="4" t="s">
        <v>20</v>
      </c>
      <c r="C12" s="9">
        <v>45813</v>
      </c>
      <c r="D12" s="4" t="s">
        <v>35</v>
      </c>
      <c r="E12" s="4" t="s">
        <v>36</v>
      </c>
      <c r="F12" s="10">
        <v>0.54166666666666663</v>
      </c>
      <c r="G12" s="4" t="s">
        <v>35</v>
      </c>
      <c r="H12" s="4" t="s">
        <v>38</v>
      </c>
      <c r="I12" s="16" t="s">
        <v>21</v>
      </c>
      <c r="J12" s="4">
        <v>2</v>
      </c>
      <c r="K12" s="4">
        <v>2</v>
      </c>
    </row>
    <row r="13" spans="1:12" ht="15.75" customHeight="1" x14ac:dyDescent="0.15">
      <c r="A13" s="4" t="s">
        <v>34</v>
      </c>
      <c r="B13" s="4" t="s">
        <v>20</v>
      </c>
      <c r="C13" s="9">
        <v>45813</v>
      </c>
      <c r="D13" s="4" t="s">
        <v>35</v>
      </c>
      <c r="E13" s="4" t="s">
        <v>36</v>
      </c>
      <c r="F13" s="10">
        <v>0.54166666666666663</v>
      </c>
      <c r="G13" s="4" t="s">
        <v>35</v>
      </c>
      <c r="H13" s="4" t="s">
        <v>43</v>
      </c>
      <c r="I13" s="11" t="s">
        <v>29</v>
      </c>
      <c r="J13" s="4">
        <v>2</v>
      </c>
    </row>
    <row r="14" spans="1:12" ht="15.75" customHeight="1" x14ac:dyDescent="0.15">
      <c r="A14" s="4" t="s">
        <v>34</v>
      </c>
      <c r="B14" s="4" t="s">
        <v>20</v>
      </c>
      <c r="C14" s="9">
        <v>45813</v>
      </c>
      <c r="D14" s="4" t="s">
        <v>35</v>
      </c>
      <c r="E14" s="4" t="s">
        <v>36</v>
      </c>
      <c r="F14" s="10">
        <v>0.54166666666666663</v>
      </c>
      <c r="G14" s="4" t="s">
        <v>35</v>
      </c>
      <c r="H14" s="4" t="s">
        <v>43</v>
      </c>
      <c r="I14" s="11" t="s">
        <v>29</v>
      </c>
      <c r="J14" s="4">
        <v>1</v>
      </c>
      <c r="K14" s="4">
        <v>1</v>
      </c>
    </row>
    <row r="15" spans="1:12" ht="15.75" customHeight="1" x14ac:dyDescent="0.15">
      <c r="A15" s="4" t="s">
        <v>34</v>
      </c>
      <c r="B15" s="4" t="s">
        <v>20</v>
      </c>
      <c r="C15" s="9">
        <v>45814</v>
      </c>
      <c r="D15" s="4" t="s">
        <v>35</v>
      </c>
      <c r="E15" s="4" t="s">
        <v>45</v>
      </c>
      <c r="F15" s="10">
        <v>0</v>
      </c>
      <c r="G15" s="4" t="s">
        <v>46</v>
      </c>
      <c r="H15" s="4" t="s">
        <v>43</v>
      </c>
      <c r="I15" s="11" t="s">
        <v>29</v>
      </c>
      <c r="J15" s="4">
        <v>3</v>
      </c>
      <c r="K15" s="4">
        <v>9</v>
      </c>
    </row>
    <row r="16" spans="1:12" ht="15.75" customHeight="1" x14ac:dyDescent="0.15">
      <c r="A16" s="4" t="s">
        <v>34</v>
      </c>
      <c r="B16" s="4" t="s">
        <v>20</v>
      </c>
      <c r="C16" s="9">
        <v>45814</v>
      </c>
      <c r="D16" s="4" t="s">
        <v>35</v>
      </c>
      <c r="E16" s="4" t="s">
        <v>45</v>
      </c>
      <c r="F16" s="10">
        <v>0</v>
      </c>
      <c r="G16" s="4" t="s">
        <v>46</v>
      </c>
      <c r="H16" s="4" t="s">
        <v>38</v>
      </c>
      <c r="I16" s="16" t="s">
        <v>21</v>
      </c>
      <c r="J16" s="4">
        <v>3</v>
      </c>
      <c r="K16" s="4">
        <v>7</v>
      </c>
    </row>
    <row r="17" spans="1:11" ht="15.75" customHeight="1" x14ac:dyDescent="0.15">
      <c r="A17" s="4" t="s">
        <v>34</v>
      </c>
      <c r="B17" s="4" t="s">
        <v>20</v>
      </c>
      <c r="C17" s="9">
        <v>45814</v>
      </c>
      <c r="D17" s="4" t="s">
        <v>35</v>
      </c>
      <c r="E17" s="4" t="s">
        <v>45</v>
      </c>
      <c r="F17" s="10">
        <v>0</v>
      </c>
      <c r="G17" s="4" t="s">
        <v>46</v>
      </c>
      <c r="H17" s="4" t="s">
        <v>47</v>
      </c>
      <c r="I17" s="11" t="s">
        <v>39</v>
      </c>
      <c r="J17" s="4">
        <v>3</v>
      </c>
      <c r="K17" s="4">
        <v>8</v>
      </c>
    </row>
    <row r="18" spans="1:11" ht="15.75" customHeight="1" x14ac:dyDescent="0.15">
      <c r="A18" s="4" t="s">
        <v>34</v>
      </c>
      <c r="B18" s="4" t="s">
        <v>20</v>
      </c>
      <c r="C18" s="9">
        <v>45814</v>
      </c>
      <c r="D18" s="4" t="s">
        <v>35</v>
      </c>
      <c r="E18" s="4" t="s">
        <v>45</v>
      </c>
      <c r="F18" s="10">
        <v>4.1666666666666664E-2</v>
      </c>
      <c r="G18" s="4" t="s">
        <v>46</v>
      </c>
      <c r="H18" s="4" t="s">
        <v>23</v>
      </c>
      <c r="I18" s="11" t="s">
        <v>29</v>
      </c>
      <c r="J18" s="4">
        <v>1</v>
      </c>
    </row>
    <row r="19" spans="1:11" ht="15.75" customHeight="1" x14ac:dyDescent="0.15">
      <c r="A19" s="4" t="s">
        <v>34</v>
      </c>
      <c r="B19" s="4" t="s">
        <v>20</v>
      </c>
      <c r="C19" s="9">
        <v>45814</v>
      </c>
      <c r="D19" s="4" t="s">
        <v>35</v>
      </c>
      <c r="E19" s="4" t="s">
        <v>45</v>
      </c>
      <c r="F19" s="10">
        <v>4.3055555555555555E-2</v>
      </c>
      <c r="G19" s="4" t="s">
        <v>35</v>
      </c>
      <c r="H19" s="4" t="s">
        <v>38</v>
      </c>
      <c r="I19" s="16" t="s">
        <v>21</v>
      </c>
      <c r="J19" s="4">
        <v>3</v>
      </c>
    </row>
    <row r="20" spans="1:11" ht="15.75" customHeight="1" x14ac:dyDescent="0.15">
      <c r="A20" s="4" t="s">
        <v>34</v>
      </c>
      <c r="B20" s="4" t="s">
        <v>20</v>
      </c>
      <c r="C20" s="9">
        <v>45814</v>
      </c>
      <c r="D20" s="4" t="s">
        <v>35</v>
      </c>
      <c r="E20" s="4" t="s">
        <v>45</v>
      </c>
      <c r="F20" s="10">
        <v>4.3055555555555555E-2</v>
      </c>
      <c r="G20" s="4" t="s">
        <v>35</v>
      </c>
      <c r="H20" s="4" t="s">
        <v>47</v>
      </c>
      <c r="I20" s="11" t="s">
        <v>39</v>
      </c>
      <c r="J20" s="4">
        <v>3</v>
      </c>
    </row>
    <row r="21" spans="1:11" ht="15.75" customHeight="1" x14ac:dyDescent="0.15">
      <c r="A21" s="4" t="s">
        <v>34</v>
      </c>
      <c r="B21" s="4" t="s">
        <v>20</v>
      </c>
      <c r="C21" s="9">
        <v>45814</v>
      </c>
      <c r="D21" s="4" t="s">
        <v>35</v>
      </c>
      <c r="E21" s="4" t="s">
        <v>45</v>
      </c>
      <c r="F21" s="10">
        <v>4.3749999999999997E-2</v>
      </c>
      <c r="G21" s="4" t="s">
        <v>35</v>
      </c>
      <c r="H21" s="4" t="s">
        <v>38</v>
      </c>
      <c r="I21" s="7" t="s">
        <v>21</v>
      </c>
      <c r="J21" s="4">
        <v>2</v>
      </c>
    </row>
    <row r="22" spans="1:11" ht="15.75" customHeight="1" x14ac:dyDescent="0.15">
      <c r="A22" s="4" t="s">
        <v>34</v>
      </c>
      <c r="B22" s="4" t="s">
        <v>20</v>
      </c>
      <c r="C22" s="9">
        <v>45814</v>
      </c>
      <c r="D22" s="4" t="s">
        <v>35</v>
      </c>
      <c r="E22" s="4" t="s">
        <v>45</v>
      </c>
      <c r="F22" s="10">
        <v>8.3333333333333329E-2</v>
      </c>
      <c r="G22" s="4" t="s">
        <v>46</v>
      </c>
      <c r="H22" s="4" t="s">
        <v>23</v>
      </c>
      <c r="I22" s="4" t="s">
        <v>29</v>
      </c>
      <c r="J22" s="4">
        <v>1</v>
      </c>
    </row>
    <row r="23" spans="1:11" ht="15.75" customHeight="1" x14ac:dyDescent="0.15">
      <c r="A23" s="4" t="s">
        <v>34</v>
      </c>
      <c r="B23" s="4" t="s">
        <v>20</v>
      </c>
      <c r="C23" s="9">
        <v>45814</v>
      </c>
      <c r="D23" s="4" t="s">
        <v>35</v>
      </c>
      <c r="E23" s="4" t="s">
        <v>45</v>
      </c>
      <c r="F23" s="10">
        <v>0.125</v>
      </c>
      <c r="G23" s="4" t="s">
        <v>46</v>
      </c>
      <c r="H23" s="4" t="s">
        <v>23</v>
      </c>
      <c r="I23" s="4" t="s">
        <v>29</v>
      </c>
      <c r="J23" s="4">
        <v>1</v>
      </c>
    </row>
    <row r="24" spans="1:11" ht="15.75" customHeight="1" x14ac:dyDescent="0.15">
      <c r="A24" s="4" t="s">
        <v>34</v>
      </c>
      <c r="B24" s="4" t="s">
        <v>20</v>
      </c>
      <c r="C24" s="9">
        <v>45814</v>
      </c>
      <c r="D24" s="4" t="s">
        <v>35</v>
      </c>
      <c r="E24" s="4" t="s">
        <v>45</v>
      </c>
      <c r="F24" s="10">
        <v>0.12638888888888888</v>
      </c>
      <c r="G24" s="4" t="s">
        <v>35</v>
      </c>
      <c r="H24" s="4" t="s">
        <v>41</v>
      </c>
      <c r="I24" s="7" t="s">
        <v>42</v>
      </c>
      <c r="J24" s="4">
        <v>2</v>
      </c>
      <c r="K24" s="4">
        <v>1</v>
      </c>
    </row>
    <row r="25" spans="1:11" ht="15.75" customHeight="1" x14ac:dyDescent="0.15">
      <c r="A25" s="4" t="s">
        <v>34</v>
      </c>
      <c r="B25" s="4" t="s">
        <v>20</v>
      </c>
      <c r="C25" s="9">
        <v>45814</v>
      </c>
      <c r="D25" s="4" t="s">
        <v>35</v>
      </c>
      <c r="E25" s="4" t="s">
        <v>45</v>
      </c>
      <c r="F25" s="10">
        <v>0.12708333333333333</v>
      </c>
      <c r="G25" s="4" t="s">
        <v>35</v>
      </c>
      <c r="H25" s="4" t="s">
        <v>41</v>
      </c>
      <c r="I25" s="7" t="s">
        <v>42</v>
      </c>
      <c r="J25" s="4">
        <v>3</v>
      </c>
    </row>
    <row r="26" spans="1:11" ht="15.75" customHeight="1" x14ac:dyDescent="0.15">
      <c r="A26" s="4" t="s">
        <v>34</v>
      </c>
      <c r="B26" s="4" t="s">
        <v>20</v>
      </c>
      <c r="C26" s="9">
        <v>45814</v>
      </c>
      <c r="D26" s="4" t="s">
        <v>35</v>
      </c>
      <c r="E26" s="4" t="s">
        <v>45</v>
      </c>
      <c r="F26" s="10">
        <v>0.12708333333333333</v>
      </c>
      <c r="G26" s="4" t="s">
        <v>35</v>
      </c>
      <c r="H26" s="4" t="s">
        <v>52</v>
      </c>
      <c r="I26" s="7" t="s">
        <v>49</v>
      </c>
      <c r="J26" s="4">
        <v>3</v>
      </c>
      <c r="K26" s="4">
        <v>2</v>
      </c>
    </row>
    <row r="27" spans="1:11" ht="15.75" customHeight="1" x14ac:dyDescent="0.15">
      <c r="A27" s="4" t="s">
        <v>34</v>
      </c>
      <c r="B27" s="4" t="s">
        <v>20</v>
      </c>
      <c r="C27" s="9">
        <v>45814</v>
      </c>
      <c r="D27" s="4" t="s">
        <v>35</v>
      </c>
      <c r="E27" s="4" t="s">
        <v>45</v>
      </c>
      <c r="F27" s="10">
        <v>0.12777777777777777</v>
      </c>
      <c r="G27" s="4" t="s">
        <v>35</v>
      </c>
      <c r="H27" s="4" t="s">
        <v>47</v>
      </c>
      <c r="I27" s="7" t="s">
        <v>39</v>
      </c>
      <c r="J27" s="4">
        <v>2</v>
      </c>
    </row>
    <row r="28" spans="1:11" ht="15.75" customHeight="1" x14ac:dyDescent="0.15">
      <c r="A28" s="4" t="s">
        <v>34</v>
      </c>
      <c r="B28" s="4" t="s">
        <v>20</v>
      </c>
      <c r="C28" s="9">
        <v>45814</v>
      </c>
      <c r="D28" s="4" t="s">
        <v>35</v>
      </c>
      <c r="E28" s="4" t="s">
        <v>45</v>
      </c>
      <c r="F28" s="10">
        <v>0.16805555555555557</v>
      </c>
      <c r="G28" s="4" t="s">
        <v>35</v>
      </c>
      <c r="H28" s="4" t="s">
        <v>23</v>
      </c>
      <c r="I28" s="7" t="s">
        <v>29</v>
      </c>
      <c r="J28" s="4">
        <v>1</v>
      </c>
    </row>
    <row r="29" spans="1:11" ht="15.75" customHeight="1" x14ac:dyDescent="0.15">
      <c r="A29" s="4" t="s">
        <v>34</v>
      </c>
      <c r="B29" s="4" t="s">
        <v>20</v>
      </c>
      <c r="C29" s="9">
        <v>45814</v>
      </c>
      <c r="D29" s="4" t="s">
        <v>35</v>
      </c>
      <c r="E29" s="4" t="s">
        <v>45</v>
      </c>
      <c r="F29" s="10">
        <v>0.16875000000000001</v>
      </c>
      <c r="G29" s="4" t="s">
        <v>35</v>
      </c>
      <c r="H29" s="4" t="s">
        <v>23</v>
      </c>
      <c r="I29" s="7" t="s">
        <v>29</v>
      </c>
      <c r="J29" s="4">
        <v>2</v>
      </c>
    </row>
    <row r="30" spans="1:11" ht="15.75" customHeight="1" x14ac:dyDescent="0.15">
      <c r="A30" s="4" t="s">
        <v>34</v>
      </c>
      <c r="B30" s="4" t="s">
        <v>20</v>
      </c>
      <c r="C30" s="9">
        <v>45814</v>
      </c>
      <c r="D30" s="4" t="s">
        <v>35</v>
      </c>
      <c r="E30" s="4" t="s">
        <v>45</v>
      </c>
      <c r="F30" s="10">
        <v>0.16875000000000001</v>
      </c>
      <c r="G30" s="4" t="s">
        <v>35</v>
      </c>
      <c r="H30" s="4" t="s">
        <v>47</v>
      </c>
      <c r="I30" s="7" t="s">
        <v>39</v>
      </c>
      <c r="J30" s="4">
        <v>2</v>
      </c>
    </row>
    <row r="31" spans="1:11" ht="15.75" customHeight="1" x14ac:dyDescent="0.15">
      <c r="A31" s="4" t="s">
        <v>34</v>
      </c>
      <c r="B31" s="4" t="s">
        <v>20</v>
      </c>
      <c r="C31" s="9">
        <v>45814</v>
      </c>
      <c r="D31" s="4" t="s">
        <v>35</v>
      </c>
      <c r="E31" s="4" t="s">
        <v>45</v>
      </c>
      <c r="F31" s="10">
        <v>0.16944444444444445</v>
      </c>
      <c r="G31" s="4" t="s">
        <v>35</v>
      </c>
      <c r="H31" s="4" t="s">
        <v>47</v>
      </c>
      <c r="I31" s="7" t="s">
        <v>39</v>
      </c>
      <c r="J31" s="4">
        <v>3</v>
      </c>
    </row>
    <row r="32" spans="1:11" ht="15.75" customHeight="1" x14ac:dyDescent="0.15">
      <c r="A32" s="4" t="s">
        <v>34</v>
      </c>
      <c r="B32" s="4" t="s">
        <v>20</v>
      </c>
      <c r="C32" s="9">
        <v>45814</v>
      </c>
      <c r="D32" s="4" t="s">
        <v>35</v>
      </c>
      <c r="E32" s="4" t="s">
        <v>45</v>
      </c>
      <c r="F32" s="10">
        <v>0.16944444444444445</v>
      </c>
      <c r="G32" s="4" t="s">
        <v>35</v>
      </c>
      <c r="H32" s="4" t="s">
        <v>23</v>
      </c>
      <c r="I32" s="7" t="s">
        <v>29</v>
      </c>
      <c r="J32" s="4">
        <v>3</v>
      </c>
    </row>
    <row r="33" spans="1:10" ht="15.75" customHeight="1" x14ac:dyDescent="0.15">
      <c r="A33" s="4" t="s">
        <v>34</v>
      </c>
      <c r="B33" s="4" t="s">
        <v>20</v>
      </c>
      <c r="C33" s="9">
        <v>45814</v>
      </c>
      <c r="D33" s="4" t="s">
        <v>35</v>
      </c>
      <c r="E33" s="4" t="s">
        <v>45</v>
      </c>
      <c r="F33" s="10">
        <v>0.16944444444444445</v>
      </c>
      <c r="G33" s="4" t="s">
        <v>35</v>
      </c>
      <c r="H33" s="4" t="s">
        <v>52</v>
      </c>
      <c r="I33" s="7" t="s">
        <v>49</v>
      </c>
      <c r="J33" s="4">
        <v>3</v>
      </c>
    </row>
    <row r="34" spans="1:10" ht="15.75" customHeight="1" x14ac:dyDescent="0.15">
      <c r="A34" s="4" t="s">
        <v>34</v>
      </c>
      <c r="B34" s="4" t="s">
        <v>20</v>
      </c>
      <c r="C34" s="9">
        <v>45814</v>
      </c>
      <c r="D34" s="4" t="s">
        <v>35</v>
      </c>
      <c r="E34" s="4" t="s">
        <v>45</v>
      </c>
      <c r="F34" s="10">
        <v>0.20972222222222223</v>
      </c>
      <c r="G34" s="4" t="s">
        <v>35</v>
      </c>
      <c r="H34" s="4" t="s">
        <v>23</v>
      </c>
      <c r="I34" s="7" t="s">
        <v>29</v>
      </c>
      <c r="J34" s="4">
        <v>3</v>
      </c>
    </row>
    <row r="35" spans="1:10" ht="15.75" customHeight="1" x14ac:dyDescent="0.15">
      <c r="A35" s="4" t="s">
        <v>34</v>
      </c>
      <c r="B35" s="4" t="s">
        <v>20</v>
      </c>
      <c r="C35" s="9">
        <v>45814</v>
      </c>
      <c r="D35" s="4" t="s">
        <v>35</v>
      </c>
      <c r="E35" s="4" t="s">
        <v>45</v>
      </c>
      <c r="F35" s="10">
        <v>0.20972222222222223</v>
      </c>
      <c r="G35" s="4" t="s">
        <v>35</v>
      </c>
      <c r="H35" s="4" t="s">
        <v>38</v>
      </c>
      <c r="I35" s="7" t="s">
        <v>21</v>
      </c>
      <c r="J35" s="4">
        <v>3</v>
      </c>
    </row>
    <row r="36" spans="1:10" ht="15.75" customHeight="1" x14ac:dyDescent="0.15">
      <c r="A36" s="4" t="s">
        <v>34</v>
      </c>
      <c r="B36" s="4" t="s">
        <v>20</v>
      </c>
      <c r="C36" s="9">
        <v>45814</v>
      </c>
      <c r="D36" s="4" t="s">
        <v>35</v>
      </c>
      <c r="E36" s="4" t="s">
        <v>45</v>
      </c>
      <c r="F36" s="10">
        <v>0.20972222222222223</v>
      </c>
      <c r="G36" s="4" t="s">
        <v>35</v>
      </c>
      <c r="H36" s="4" t="s">
        <v>47</v>
      </c>
      <c r="I36" s="7" t="s">
        <v>39</v>
      </c>
      <c r="J36" s="4">
        <v>3</v>
      </c>
    </row>
    <row r="37" spans="1:10" ht="15.75" customHeight="1" x14ac:dyDescent="0.15">
      <c r="A37" s="4" t="s">
        <v>34</v>
      </c>
      <c r="B37" s="4" t="s">
        <v>20</v>
      </c>
      <c r="C37" s="9">
        <v>45814</v>
      </c>
      <c r="D37" s="4" t="s">
        <v>35</v>
      </c>
      <c r="E37" s="4" t="s">
        <v>45</v>
      </c>
      <c r="F37" s="10">
        <v>0.21041666666666667</v>
      </c>
      <c r="G37" s="4" t="s">
        <v>35</v>
      </c>
      <c r="H37" s="4" t="s">
        <v>23</v>
      </c>
      <c r="I37" s="7" t="s">
        <v>29</v>
      </c>
      <c r="J37" s="4">
        <v>3</v>
      </c>
    </row>
    <row r="38" spans="1:10" ht="15.75" customHeight="1" x14ac:dyDescent="0.15">
      <c r="A38" s="4" t="s">
        <v>34</v>
      </c>
      <c r="B38" s="4" t="s">
        <v>20</v>
      </c>
      <c r="C38" s="9">
        <v>45814</v>
      </c>
      <c r="D38" s="4" t="s">
        <v>35</v>
      </c>
      <c r="E38" s="4" t="s">
        <v>45</v>
      </c>
      <c r="F38" s="10">
        <v>0.21041666666666667</v>
      </c>
      <c r="G38" s="4" t="s">
        <v>35</v>
      </c>
      <c r="H38" s="4" t="s">
        <v>38</v>
      </c>
      <c r="I38" s="7" t="s">
        <v>21</v>
      </c>
      <c r="J38" s="4">
        <v>3</v>
      </c>
    </row>
    <row r="39" spans="1:10" ht="15.75" customHeight="1" x14ac:dyDescent="0.15">
      <c r="A39" s="4" t="s">
        <v>34</v>
      </c>
      <c r="B39" s="4" t="s">
        <v>20</v>
      </c>
      <c r="C39" s="9">
        <v>45814</v>
      </c>
      <c r="D39" s="4" t="s">
        <v>35</v>
      </c>
      <c r="E39" s="4" t="s">
        <v>45</v>
      </c>
      <c r="F39" s="10">
        <v>0.21041666666666667</v>
      </c>
      <c r="G39" s="4" t="s">
        <v>35</v>
      </c>
      <c r="H39" s="4" t="s">
        <v>47</v>
      </c>
      <c r="I39" s="7" t="s">
        <v>39</v>
      </c>
      <c r="J39" s="4">
        <v>3</v>
      </c>
    </row>
    <row r="40" spans="1:10" ht="15.75" customHeight="1" x14ac:dyDescent="0.15">
      <c r="A40" s="4" t="s">
        <v>34</v>
      </c>
      <c r="B40" s="4" t="s">
        <v>20</v>
      </c>
      <c r="C40" s="9">
        <v>45814</v>
      </c>
      <c r="D40" s="4" t="s">
        <v>35</v>
      </c>
      <c r="E40" s="4" t="s">
        <v>45</v>
      </c>
      <c r="F40" s="10">
        <v>0.83333333333333337</v>
      </c>
      <c r="G40" s="4" t="s">
        <v>35</v>
      </c>
      <c r="H40" s="4" t="s">
        <v>38</v>
      </c>
      <c r="I40" s="7" t="s">
        <v>21</v>
      </c>
      <c r="J40" s="4">
        <v>1</v>
      </c>
    </row>
    <row r="41" spans="1:10" ht="15.75" customHeight="1" x14ac:dyDescent="0.15">
      <c r="A41" s="4" t="s">
        <v>34</v>
      </c>
      <c r="B41" s="4" t="s">
        <v>20</v>
      </c>
      <c r="C41" s="9">
        <v>45814</v>
      </c>
      <c r="D41" s="4" t="s">
        <v>35</v>
      </c>
      <c r="E41" s="4" t="s">
        <v>45</v>
      </c>
      <c r="F41" s="10">
        <v>0.83402777777777781</v>
      </c>
      <c r="G41" s="4" t="s">
        <v>35</v>
      </c>
      <c r="H41" s="4" t="s">
        <v>38</v>
      </c>
      <c r="I41" s="7" t="s">
        <v>21</v>
      </c>
      <c r="J41" s="4">
        <v>1</v>
      </c>
    </row>
    <row r="42" spans="1:10" ht="15.75" customHeight="1" x14ac:dyDescent="0.15">
      <c r="A42" s="4" t="s">
        <v>34</v>
      </c>
      <c r="B42" s="4" t="s">
        <v>20</v>
      </c>
      <c r="C42" s="9">
        <v>45814</v>
      </c>
      <c r="D42" s="4" t="s">
        <v>35</v>
      </c>
      <c r="E42" s="4" t="s">
        <v>45</v>
      </c>
      <c r="F42" s="10">
        <v>0.83472222222222225</v>
      </c>
      <c r="G42" s="4" t="s">
        <v>35</v>
      </c>
      <c r="H42" s="4" t="s">
        <v>38</v>
      </c>
      <c r="I42" s="7" t="s">
        <v>21</v>
      </c>
      <c r="J42" s="4">
        <v>1</v>
      </c>
    </row>
    <row r="43" spans="1:10" ht="15.75" customHeight="1" x14ac:dyDescent="0.15">
      <c r="A43" s="4" t="s">
        <v>34</v>
      </c>
      <c r="B43" s="4" t="s">
        <v>20</v>
      </c>
      <c r="C43" s="9">
        <v>45814</v>
      </c>
      <c r="D43" s="4" t="s">
        <v>35</v>
      </c>
      <c r="E43" s="4" t="s">
        <v>45</v>
      </c>
      <c r="F43" s="10">
        <v>0.8354166666666667</v>
      </c>
      <c r="G43" s="4" t="s">
        <v>35</v>
      </c>
      <c r="H43" s="4" t="s">
        <v>38</v>
      </c>
      <c r="I43" s="7" t="s">
        <v>21</v>
      </c>
      <c r="J43" s="4">
        <v>1</v>
      </c>
    </row>
    <row r="44" spans="1:10" ht="15.75" customHeight="1" x14ac:dyDescent="0.15">
      <c r="A44" s="4" t="s">
        <v>34</v>
      </c>
      <c r="B44" s="4" t="s">
        <v>20</v>
      </c>
      <c r="C44" s="9">
        <v>45814</v>
      </c>
      <c r="D44" s="4" t="s">
        <v>35</v>
      </c>
      <c r="E44" s="4" t="s">
        <v>45</v>
      </c>
      <c r="F44" s="10">
        <v>0.875</v>
      </c>
      <c r="G44" s="4" t="s">
        <v>46</v>
      </c>
      <c r="H44" s="4" t="s">
        <v>38</v>
      </c>
      <c r="I44" s="7" t="s">
        <v>21</v>
      </c>
      <c r="J44" s="4">
        <v>2</v>
      </c>
    </row>
    <row r="45" spans="1:10" ht="15.75" customHeight="1" x14ac:dyDescent="0.15">
      <c r="A45" s="4" t="s">
        <v>34</v>
      </c>
      <c r="B45" s="4" t="s">
        <v>20</v>
      </c>
      <c r="C45" s="9">
        <v>45814</v>
      </c>
      <c r="D45" s="4" t="s">
        <v>35</v>
      </c>
      <c r="E45" s="4" t="s">
        <v>45</v>
      </c>
      <c r="F45" s="10">
        <v>0.875</v>
      </c>
      <c r="G45" s="4" t="s">
        <v>46</v>
      </c>
      <c r="H45" s="4" t="s">
        <v>47</v>
      </c>
      <c r="I45" s="7" t="s">
        <v>39</v>
      </c>
      <c r="J45" s="4">
        <v>2</v>
      </c>
    </row>
    <row r="46" spans="1:10" ht="15.75" customHeight="1" x14ac:dyDescent="0.15">
      <c r="A46" s="4" t="s">
        <v>34</v>
      </c>
      <c r="B46" s="4" t="s">
        <v>20</v>
      </c>
      <c r="C46" s="9">
        <v>45814</v>
      </c>
      <c r="D46" s="4" t="s">
        <v>35</v>
      </c>
      <c r="E46" s="4" t="s">
        <v>45</v>
      </c>
      <c r="F46" s="10">
        <v>0.87569444444444444</v>
      </c>
      <c r="G46" s="4" t="s">
        <v>35</v>
      </c>
      <c r="H46" s="4" t="s">
        <v>23</v>
      </c>
      <c r="I46" s="7" t="s">
        <v>29</v>
      </c>
      <c r="J46" s="4">
        <v>1</v>
      </c>
    </row>
    <row r="47" spans="1:10" ht="15.75" customHeight="1" x14ac:dyDescent="0.15">
      <c r="A47" s="4" t="s">
        <v>34</v>
      </c>
      <c r="B47" s="4" t="s">
        <v>20</v>
      </c>
      <c r="C47" s="9">
        <v>45814</v>
      </c>
      <c r="D47" s="4" t="s">
        <v>35</v>
      </c>
      <c r="E47" s="4" t="s">
        <v>45</v>
      </c>
      <c r="F47" s="10">
        <v>0.87638888888888888</v>
      </c>
      <c r="G47" s="4" t="s">
        <v>35</v>
      </c>
      <c r="H47" s="4" t="s">
        <v>23</v>
      </c>
      <c r="I47" s="7" t="s">
        <v>29</v>
      </c>
      <c r="J47" s="4">
        <v>1</v>
      </c>
    </row>
    <row r="48" spans="1:10" ht="15.75" customHeight="1" x14ac:dyDescent="0.15">
      <c r="A48" s="4" t="s">
        <v>34</v>
      </c>
      <c r="B48" s="4" t="s">
        <v>20</v>
      </c>
      <c r="C48" s="9">
        <v>45814</v>
      </c>
      <c r="D48" s="4" t="s">
        <v>35</v>
      </c>
      <c r="E48" s="4" t="s">
        <v>45</v>
      </c>
      <c r="F48" s="10">
        <v>0.91666666666666663</v>
      </c>
      <c r="G48" s="4" t="s">
        <v>46</v>
      </c>
      <c r="H48" s="4" t="s">
        <v>23</v>
      </c>
      <c r="I48" s="7" t="s">
        <v>29</v>
      </c>
      <c r="J48" s="4">
        <v>2</v>
      </c>
    </row>
    <row r="49" spans="1:11" ht="15.75" customHeight="1" x14ac:dyDescent="0.15">
      <c r="A49" s="4" t="s">
        <v>34</v>
      </c>
      <c r="B49" s="4" t="s">
        <v>20</v>
      </c>
      <c r="C49" s="9">
        <v>45814</v>
      </c>
      <c r="D49" s="4" t="s">
        <v>35</v>
      </c>
      <c r="E49" s="4" t="s">
        <v>45</v>
      </c>
      <c r="F49" s="10">
        <v>0.91666666666666663</v>
      </c>
      <c r="G49" s="4" t="s">
        <v>46</v>
      </c>
      <c r="H49" s="4" t="s">
        <v>38</v>
      </c>
      <c r="I49" s="7" t="s">
        <v>21</v>
      </c>
      <c r="J49" s="4">
        <v>2</v>
      </c>
    </row>
    <row r="50" spans="1:11" ht="15.75" customHeight="1" x14ac:dyDescent="0.15">
      <c r="A50" s="4" t="s">
        <v>34</v>
      </c>
      <c r="B50" s="4" t="s">
        <v>20</v>
      </c>
      <c r="C50" s="9">
        <v>45814</v>
      </c>
      <c r="D50" s="4" t="s">
        <v>35</v>
      </c>
      <c r="E50" s="4" t="s">
        <v>45</v>
      </c>
      <c r="F50" s="10">
        <v>0.41736111111111113</v>
      </c>
      <c r="G50" s="4" t="s">
        <v>35</v>
      </c>
      <c r="H50" s="4" t="s">
        <v>47</v>
      </c>
      <c r="I50" s="7" t="s">
        <v>39</v>
      </c>
      <c r="J50" s="4">
        <v>3</v>
      </c>
    </row>
    <row r="51" spans="1:11" ht="15.75" customHeight="1" x14ac:dyDescent="0.15">
      <c r="A51" s="4" t="s">
        <v>34</v>
      </c>
      <c r="B51" s="4" t="s">
        <v>20</v>
      </c>
      <c r="C51" s="9">
        <v>45814</v>
      </c>
      <c r="D51" s="4" t="s">
        <v>35</v>
      </c>
      <c r="E51" s="4" t="s">
        <v>45</v>
      </c>
      <c r="F51" s="10">
        <v>0.91805555555555551</v>
      </c>
      <c r="G51" s="4" t="s">
        <v>35</v>
      </c>
      <c r="H51" s="4" t="s">
        <v>47</v>
      </c>
      <c r="I51" s="7" t="s">
        <v>39</v>
      </c>
      <c r="J51" s="4">
        <v>3</v>
      </c>
    </row>
    <row r="52" spans="1:11" ht="15.75" customHeight="1" x14ac:dyDescent="0.15">
      <c r="A52" s="4" t="s">
        <v>34</v>
      </c>
      <c r="B52" s="4" t="s">
        <v>20</v>
      </c>
      <c r="C52" s="9">
        <v>45814</v>
      </c>
      <c r="D52" s="4" t="s">
        <v>35</v>
      </c>
      <c r="E52" s="4" t="s">
        <v>45</v>
      </c>
      <c r="F52" s="10">
        <v>0.91874999999999996</v>
      </c>
      <c r="G52" s="4" t="s">
        <v>35</v>
      </c>
      <c r="H52" s="4" t="s">
        <v>47</v>
      </c>
      <c r="I52" s="7" t="s">
        <v>39</v>
      </c>
      <c r="J52" s="4">
        <v>3</v>
      </c>
    </row>
    <row r="53" spans="1:11" ht="15.75" customHeight="1" x14ac:dyDescent="0.15">
      <c r="A53" s="4" t="s">
        <v>34</v>
      </c>
      <c r="B53" s="4" t="s">
        <v>20</v>
      </c>
      <c r="C53" s="9">
        <v>45814</v>
      </c>
      <c r="D53" s="4" t="s">
        <v>35</v>
      </c>
      <c r="E53" s="4" t="s">
        <v>45</v>
      </c>
      <c r="F53" s="10">
        <v>0.9194444444444444</v>
      </c>
      <c r="G53" s="4" t="s">
        <v>35</v>
      </c>
      <c r="H53" s="4" t="s">
        <v>47</v>
      </c>
      <c r="I53" s="7" t="s">
        <v>39</v>
      </c>
      <c r="J53" s="4">
        <v>3</v>
      </c>
    </row>
    <row r="54" spans="1:11" ht="15.75" customHeight="1" x14ac:dyDescent="0.15">
      <c r="A54" s="4" t="s">
        <v>34</v>
      </c>
      <c r="B54" s="4" t="s">
        <v>20</v>
      </c>
      <c r="C54" s="9">
        <v>45814</v>
      </c>
      <c r="D54" s="4" t="s">
        <v>35</v>
      </c>
      <c r="E54" s="4" t="s">
        <v>45</v>
      </c>
      <c r="F54" s="10">
        <v>0.95833333333333337</v>
      </c>
      <c r="G54" s="4" t="s">
        <v>46</v>
      </c>
      <c r="H54" s="4" t="s">
        <v>38</v>
      </c>
      <c r="I54" s="7" t="s">
        <v>21</v>
      </c>
      <c r="J54" s="4">
        <v>3</v>
      </c>
    </row>
    <row r="55" spans="1:11" ht="15.75" customHeight="1" x14ac:dyDescent="0.15">
      <c r="A55" s="4" t="s">
        <v>34</v>
      </c>
      <c r="B55" s="4" t="s">
        <v>20</v>
      </c>
      <c r="C55" s="9">
        <v>45814</v>
      </c>
      <c r="D55" s="4" t="s">
        <v>35</v>
      </c>
      <c r="E55" s="4" t="s">
        <v>45</v>
      </c>
      <c r="F55" s="10">
        <v>0.95833333333333337</v>
      </c>
      <c r="G55" s="4" t="s">
        <v>46</v>
      </c>
      <c r="H55" s="4" t="s">
        <v>23</v>
      </c>
      <c r="I55" s="7" t="s">
        <v>29</v>
      </c>
      <c r="J55" s="4">
        <v>3</v>
      </c>
    </row>
    <row r="56" spans="1:11" ht="15.75" customHeight="1" x14ac:dyDescent="0.15">
      <c r="A56" s="4" t="s">
        <v>34</v>
      </c>
      <c r="B56" s="4" t="s">
        <v>20</v>
      </c>
      <c r="C56" s="9">
        <v>45814</v>
      </c>
      <c r="D56" s="4" t="s">
        <v>35</v>
      </c>
      <c r="E56" s="4" t="s">
        <v>45</v>
      </c>
      <c r="F56" s="10">
        <v>0.95833333333333337</v>
      </c>
      <c r="G56" s="4" t="s">
        <v>46</v>
      </c>
      <c r="H56" s="4" t="s">
        <v>47</v>
      </c>
      <c r="I56" s="7" t="s">
        <v>39</v>
      </c>
      <c r="J56" s="4">
        <v>3</v>
      </c>
    </row>
    <row r="57" spans="1:11" ht="15.75" customHeight="1" x14ac:dyDescent="0.15">
      <c r="A57" s="4" t="s">
        <v>34</v>
      </c>
      <c r="B57" s="4" t="s">
        <v>20</v>
      </c>
      <c r="C57" s="9">
        <v>45815</v>
      </c>
      <c r="D57" s="4" t="s">
        <v>35</v>
      </c>
      <c r="E57" s="4" t="s">
        <v>53</v>
      </c>
      <c r="F57" s="10">
        <v>0</v>
      </c>
      <c r="G57" s="4" t="s">
        <v>46</v>
      </c>
      <c r="H57" s="4" t="s">
        <v>23</v>
      </c>
      <c r="I57" s="7" t="s">
        <v>29</v>
      </c>
      <c r="J57" s="4">
        <v>2</v>
      </c>
      <c r="K57" s="4">
        <v>4</v>
      </c>
    </row>
    <row r="58" spans="1:11" ht="15.75" customHeight="1" x14ac:dyDescent="0.15">
      <c r="A58" s="4" t="s">
        <v>34</v>
      </c>
      <c r="B58" s="4" t="s">
        <v>20</v>
      </c>
      <c r="C58" s="9">
        <v>45815</v>
      </c>
      <c r="D58" s="4" t="s">
        <v>35</v>
      </c>
      <c r="E58" s="4" t="s">
        <v>53</v>
      </c>
      <c r="F58" s="10">
        <v>0</v>
      </c>
      <c r="G58" s="4" t="s">
        <v>46</v>
      </c>
      <c r="H58" s="4" t="s">
        <v>38</v>
      </c>
      <c r="I58" s="7" t="s">
        <v>21</v>
      </c>
      <c r="J58" s="4">
        <v>2</v>
      </c>
      <c r="K58" s="4">
        <v>3</v>
      </c>
    </row>
    <row r="59" spans="1:11" ht="13" x14ac:dyDescent="0.15">
      <c r="A59" s="4" t="s">
        <v>34</v>
      </c>
      <c r="B59" s="4" t="s">
        <v>20</v>
      </c>
      <c r="C59" s="9">
        <v>45815</v>
      </c>
      <c r="D59" s="4" t="s">
        <v>35</v>
      </c>
      <c r="E59" s="4" t="s">
        <v>53</v>
      </c>
      <c r="F59" s="10">
        <v>1.3888888888888889E-3</v>
      </c>
      <c r="G59" s="4" t="s">
        <v>35</v>
      </c>
      <c r="H59" s="4" t="s">
        <v>37</v>
      </c>
      <c r="I59" s="7" t="s">
        <v>39</v>
      </c>
      <c r="J59" s="4">
        <v>3</v>
      </c>
      <c r="K59" s="4">
        <v>2</v>
      </c>
    </row>
    <row r="60" spans="1:11" ht="13" x14ac:dyDescent="0.15">
      <c r="A60" s="4" t="s">
        <v>34</v>
      </c>
      <c r="B60" s="4" t="s">
        <v>20</v>
      </c>
      <c r="C60" s="9">
        <v>45815</v>
      </c>
      <c r="D60" s="4" t="s">
        <v>35</v>
      </c>
      <c r="E60" s="4" t="s">
        <v>53</v>
      </c>
      <c r="F60" s="10">
        <v>2.0833333333333333E-3</v>
      </c>
      <c r="G60" s="4" t="s">
        <v>35</v>
      </c>
      <c r="H60" s="4" t="s">
        <v>37</v>
      </c>
      <c r="I60" s="7" t="s">
        <v>39</v>
      </c>
      <c r="J60" s="4">
        <v>3</v>
      </c>
    </row>
    <row r="61" spans="1:11" ht="13" x14ac:dyDescent="0.15">
      <c r="A61" s="4" t="s">
        <v>34</v>
      </c>
      <c r="B61" s="4" t="s">
        <v>20</v>
      </c>
      <c r="C61" s="9">
        <v>45815</v>
      </c>
      <c r="D61" s="4" t="s">
        <v>35</v>
      </c>
      <c r="E61" s="4" t="s">
        <v>53</v>
      </c>
      <c r="F61" s="10">
        <v>2.7777777777777779E-3</v>
      </c>
      <c r="G61" s="4" t="s">
        <v>35</v>
      </c>
      <c r="H61" s="4" t="s">
        <v>37</v>
      </c>
      <c r="I61" s="7" t="s">
        <v>39</v>
      </c>
      <c r="J61" s="4">
        <v>3</v>
      </c>
    </row>
    <row r="62" spans="1:11" ht="13" x14ac:dyDescent="0.15">
      <c r="A62" s="4" t="s">
        <v>34</v>
      </c>
      <c r="B62" s="4" t="s">
        <v>20</v>
      </c>
      <c r="C62" s="9">
        <v>45815</v>
      </c>
      <c r="D62" s="4" t="s">
        <v>35</v>
      </c>
      <c r="E62" s="4" t="s">
        <v>53</v>
      </c>
      <c r="F62" s="10">
        <v>4.1666666666666664E-2</v>
      </c>
      <c r="G62" s="4" t="s">
        <v>35</v>
      </c>
      <c r="H62" s="4" t="s">
        <v>23</v>
      </c>
      <c r="I62" s="7" t="s">
        <v>29</v>
      </c>
      <c r="J62" s="4">
        <v>2</v>
      </c>
    </row>
    <row r="63" spans="1:11" ht="13" x14ac:dyDescent="0.15">
      <c r="A63" s="4" t="s">
        <v>34</v>
      </c>
      <c r="B63" s="4" t="s">
        <v>20</v>
      </c>
      <c r="C63" s="9">
        <v>45815</v>
      </c>
      <c r="D63" s="4" t="s">
        <v>35</v>
      </c>
      <c r="E63" s="4" t="s">
        <v>53</v>
      </c>
      <c r="F63" s="10">
        <v>4.1666666666666664E-2</v>
      </c>
      <c r="G63" s="4" t="s">
        <v>35</v>
      </c>
      <c r="H63" s="4" t="s">
        <v>38</v>
      </c>
      <c r="I63" s="7" t="s">
        <v>21</v>
      </c>
      <c r="J63" s="4">
        <v>2</v>
      </c>
    </row>
    <row r="64" spans="1:11" ht="13" x14ac:dyDescent="0.15">
      <c r="A64" s="4" t="s">
        <v>34</v>
      </c>
      <c r="B64" s="4" t="s">
        <v>20</v>
      </c>
      <c r="C64" s="9">
        <v>45815</v>
      </c>
      <c r="D64" s="4" t="s">
        <v>35</v>
      </c>
      <c r="E64" s="4" t="s">
        <v>53</v>
      </c>
      <c r="F64" s="10">
        <v>4.2361111111111113E-2</v>
      </c>
      <c r="G64" s="4" t="s">
        <v>35</v>
      </c>
      <c r="H64" s="4" t="s">
        <v>38</v>
      </c>
      <c r="I64" s="7" t="s">
        <v>21</v>
      </c>
      <c r="J64" s="4">
        <v>1</v>
      </c>
    </row>
    <row r="65" spans="1:11" ht="13" x14ac:dyDescent="0.15">
      <c r="A65" s="4" t="s">
        <v>34</v>
      </c>
      <c r="B65" s="4" t="s">
        <v>20</v>
      </c>
      <c r="C65" s="9">
        <v>45815</v>
      </c>
      <c r="D65" s="4" t="s">
        <v>35</v>
      </c>
      <c r="E65" s="4" t="s">
        <v>53</v>
      </c>
      <c r="F65" s="10">
        <v>4.3055555555555555E-2</v>
      </c>
      <c r="G65" s="4" t="s">
        <v>35</v>
      </c>
      <c r="H65" s="4" t="s">
        <v>38</v>
      </c>
      <c r="I65" s="7" t="s">
        <v>21</v>
      </c>
      <c r="J65" s="4">
        <v>1</v>
      </c>
    </row>
    <row r="66" spans="1:11" ht="13" x14ac:dyDescent="0.15">
      <c r="A66" s="4" t="s">
        <v>34</v>
      </c>
      <c r="B66" s="4" t="s">
        <v>20</v>
      </c>
      <c r="C66" s="9">
        <v>45815</v>
      </c>
      <c r="D66" s="4" t="s">
        <v>35</v>
      </c>
      <c r="E66" s="4" t="s">
        <v>53</v>
      </c>
      <c r="F66" s="10">
        <v>4.3749999999999997E-2</v>
      </c>
      <c r="G66" s="4" t="s">
        <v>35</v>
      </c>
      <c r="H66" s="4" t="s">
        <v>38</v>
      </c>
      <c r="I66" s="7" t="s">
        <v>21</v>
      </c>
      <c r="J66" s="4">
        <v>2</v>
      </c>
    </row>
    <row r="67" spans="1:11" ht="13" x14ac:dyDescent="0.15">
      <c r="A67" s="4" t="s">
        <v>34</v>
      </c>
      <c r="B67" s="4" t="s">
        <v>20</v>
      </c>
      <c r="C67" s="9">
        <v>45815</v>
      </c>
      <c r="D67" s="4" t="s">
        <v>35</v>
      </c>
      <c r="E67" s="4" t="s">
        <v>53</v>
      </c>
      <c r="F67" s="10">
        <v>4.3749999999999997E-2</v>
      </c>
      <c r="G67" s="4" t="s">
        <v>35</v>
      </c>
      <c r="H67" s="4" t="s">
        <v>23</v>
      </c>
      <c r="I67" s="7" t="s">
        <v>29</v>
      </c>
      <c r="J67" s="4">
        <v>2</v>
      </c>
    </row>
    <row r="68" spans="1:11" ht="13" x14ac:dyDescent="0.15">
      <c r="A68" s="4" t="s">
        <v>34</v>
      </c>
      <c r="B68" s="4" t="s">
        <v>20</v>
      </c>
      <c r="C68" s="9">
        <v>45815</v>
      </c>
      <c r="D68" s="4" t="s">
        <v>35</v>
      </c>
      <c r="E68" s="4" t="s">
        <v>53</v>
      </c>
      <c r="F68" s="10">
        <v>8.3333333333333329E-2</v>
      </c>
      <c r="G68" s="4" t="s">
        <v>54</v>
      </c>
      <c r="H68" s="4" t="s">
        <v>38</v>
      </c>
      <c r="I68" s="7" t="s">
        <v>21</v>
      </c>
      <c r="J68" s="4">
        <v>2</v>
      </c>
      <c r="K68" s="4" t="s">
        <v>55</v>
      </c>
    </row>
    <row r="69" spans="1:11" ht="13" x14ac:dyDescent="0.15">
      <c r="A69" s="4" t="s">
        <v>34</v>
      </c>
      <c r="B69" s="4" t="s">
        <v>20</v>
      </c>
      <c r="C69" s="9">
        <v>45815</v>
      </c>
      <c r="D69" s="4" t="s">
        <v>35</v>
      </c>
      <c r="E69" s="4" t="s">
        <v>53</v>
      </c>
      <c r="F69" s="10">
        <v>8.3333333333333329E-2</v>
      </c>
      <c r="G69" s="4" t="s">
        <v>54</v>
      </c>
      <c r="H69" s="4" t="s">
        <v>23</v>
      </c>
      <c r="I69" s="7" t="s">
        <v>29</v>
      </c>
      <c r="J69" s="4">
        <v>2</v>
      </c>
    </row>
    <row r="70" spans="1:11" ht="13" x14ac:dyDescent="0.15">
      <c r="A70" s="4" t="s">
        <v>34</v>
      </c>
      <c r="B70" s="4" t="s">
        <v>20</v>
      </c>
      <c r="C70" s="9">
        <v>45815</v>
      </c>
      <c r="D70" s="4" t="s">
        <v>35</v>
      </c>
      <c r="E70" s="4" t="s">
        <v>53</v>
      </c>
      <c r="F70" s="10">
        <v>8.4027777777777785E-2</v>
      </c>
      <c r="G70" s="4" t="s">
        <v>54</v>
      </c>
      <c r="H70" s="4" t="s">
        <v>23</v>
      </c>
      <c r="I70" s="7" t="s">
        <v>29</v>
      </c>
      <c r="J70" s="4">
        <v>3</v>
      </c>
    </row>
    <row r="71" spans="1:11" ht="13" x14ac:dyDescent="0.15">
      <c r="A71" s="4" t="s">
        <v>34</v>
      </c>
      <c r="B71" s="4" t="s">
        <v>20</v>
      </c>
      <c r="C71" s="9">
        <v>45815</v>
      </c>
      <c r="D71" s="4" t="s">
        <v>35</v>
      </c>
      <c r="E71" s="4" t="s">
        <v>53</v>
      </c>
      <c r="F71" s="10">
        <v>8.4027777777777785E-2</v>
      </c>
      <c r="G71" s="4" t="s">
        <v>54</v>
      </c>
      <c r="H71" s="4" t="s">
        <v>38</v>
      </c>
      <c r="I71" s="7" t="s">
        <v>21</v>
      </c>
      <c r="J71" s="4">
        <v>3</v>
      </c>
    </row>
    <row r="72" spans="1:11" ht="13" x14ac:dyDescent="0.15">
      <c r="A72" s="4" t="s">
        <v>34</v>
      </c>
      <c r="B72" s="4" t="s">
        <v>20</v>
      </c>
      <c r="C72" s="9">
        <v>45815</v>
      </c>
      <c r="D72" s="4" t="s">
        <v>35</v>
      </c>
      <c r="E72" s="4" t="s">
        <v>53</v>
      </c>
      <c r="F72" s="10">
        <v>8.4027777777777785E-2</v>
      </c>
      <c r="G72" s="4" t="s">
        <v>54</v>
      </c>
      <c r="H72" s="4" t="s">
        <v>37</v>
      </c>
      <c r="I72" s="7" t="s">
        <v>39</v>
      </c>
      <c r="J72" s="4">
        <v>3</v>
      </c>
      <c r="K72" s="4">
        <v>2</v>
      </c>
    </row>
    <row r="73" spans="1:11" ht="13" x14ac:dyDescent="0.15">
      <c r="A73" s="4" t="s">
        <v>34</v>
      </c>
      <c r="B73" s="4" t="s">
        <v>20</v>
      </c>
      <c r="C73" s="9">
        <v>45815</v>
      </c>
      <c r="D73" s="4" t="s">
        <v>35</v>
      </c>
      <c r="E73" s="4" t="s">
        <v>53</v>
      </c>
      <c r="F73" s="10">
        <v>8.4722222222222227E-2</v>
      </c>
      <c r="G73" s="4" t="s">
        <v>54</v>
      </c>
      <c r="H73" s="4" t="s">
        <v>23</v>
      </c>
      <c r="I73" s="7" t="s">
        <v>29</v>
      </c>
      <c r="J73" s="4">
        <v>3</v>
      </c>
    </row>
    <row r="74" spans="1:11" ht="13" x14ac:dyDescent="0.15">
      <c r="A74" s="4" t="s">
        <v>34</v>
      </c>
      <c r="B74" s="4" t="s">
        <v>20</v>
      </c>
      <c r="C74" s="9">
        <v>45815</v>
      </c>
      <c r="D74" s="4" t="s">
        <v>35</v>
      </c>
      <c r="E74" s="4" t="s">
        <v>53</v>
      </c>
      <c r="F74" s="10">
        <v>8.4722222222222227E-2</v>
      </c>
      <c r="G74" s="4" t="s">
        <v>54</v>
      </c>
      <c r="H74" s="4" t="s">
        <v>38</v>
      </c>
      <c r="I74" s="7" t="s">
        <v>21</v>
      </c>
      <c r="J74" s="4">
        <v>3</v>
      </c>
    </row>
    <row r="75" spans="1:11" ht="13" x14ac:dyDescent="0.15">
      <c r="A75" s="4" t="s">
        <v>34</v>
      </c>
      <c r="B75" s="4" t="s">
        <v>20</v>
      </c>
      <c r="C75" s="9">
        <v>45815</v>
      </c>
      <c r="D75" s="4" t="s">
        <v>35</v>
      </c>
      <c r="E75" s="4" t="s">
        <v>53</v>
      </c>
      <c r="F75" s="10">
        <v>8.4722222222222227E-2</v>
      </c>
      <c r="G75" s="4" t="s">
        <v>54</v>
      </c>
      <c r="H75" s="4" t="s">
        <v>37</v>
      </c>
      <c r="I75" s="7" t="s">
        <v>39</v>
      </c>
      <c r="J75" s="4">
        <v>3</v>
      </c>
    </row>
    <row r="76" spans="1:11" ht="13" x14ac:dyDescent="0.15">
      <c r="A76" s="4" t="s">
        <v>34</v>
      </c>
      <c r="B76" s="4" t="s">
        <v>20</v>
      </c>
      <c r="C76" s="9">
        <v>45815</v>
      </c>
      <c r="D76" s="4" t="s">
        <v>35</v>
      </c>
      <c r="E76" s="4" t="s">
        <v>53</v>
      </c>
      <c r="F76" s="10">
        <v>0.125</v>
      </c>
      <c r="G76" s="4" t="s">
        <v>54</v>
      </c>
      <c r="H76" s="4" t="s">
        <v>23</v>
      </c>
      <c r="I76" s="7" t="s">
        <v>29</v>
      </c>
      <c r="J76" s="4">
        <v>1</v>
      </c>
      <c r="K76" s="4" t="s">
        <v>65</v>
      </c>
    </row>
    <row r="77" spans="1:11" ht="13" x14ac:dyDescent="0.15">
      <c r="A77" s="4" t="s">
        <v>34</v>
      </c>
      <c r="B77" s="4" t="s">
        <v>20</v>
      </c>
      <c r="C77" s="9">
        <v>45815</v>
      </c>
      <c r="D77" s="4" t="s">
        <v>35</v>
      </c>
      <c r="E77" s="4" t="s">
        <v>53</v>
      </c>
      <c r="F77" s="10">
        <v>0.16666666666666666</v>
      </c>
      <c r="G77" s="4" t="s">
        <v>54</v>
      </c>
      <c r="H77" s="4" t="s">
        <v>52</v>
      </c>
      <c r="I77" s="7" t="s">
        <v>49</v>
      </c>
      <c r="J77" s="4">
        <v>1</v>
      </c>
      <c r="K77" s="4" t="s">
        <v>65</v>
      </c>
    </row>
    <row r="78" spans="1:11" ht="13" x14ac:dyDescent="0.15">
      <c r="A78" s="4" t="s">
        <v>34</v>
      </c>
      <c r="B78" s="4" t="s">
        <v>20</v>
      </c>
      <c r="C78" s="9">
        <v>45815</v>
      </c>
      <c r="D78" s="4" t="s">
        <v>35</v>
      </c>
      <c r="E78" s="4" t="s">
        <v>53</v>
      </c>
      <c r="F78" s="10">
        <v>0.1673611111111111</v>
      </c>
      <c r="G78" s="4" t="s">
        <v>54</v>
      </c>
      <c r="H78" s="4" t="s">
        <v>52</v>
      </c>
      <c r="I78" s="7" t="s">
        <v>49</v>
      </c>
      <c r="J78" s="4">
        <v>1</v>
      </c>
    </row>
    <row r="79" spans="1:11" ht="13" x14ac:dyDescent="0.15">
      <c r="A79" s="4" t="s">
        <v>34</v>
      </c>
      <c r="B79" s="4" t="s">
        <v>20</v>
      </c>
      <c r="C79" s="9">
        <v>45815</v>
      </c>
      <c r="D79" s="4" t="s">
        <v>35</v>
      </c>
      <c r="E79" s="4" t="s">
        <v>53</v>
      </c>
      <c r="F79" s="10">
        <v>0.16805555555555557</v>
      </c>
      <c r="G79" s="4" t="s">
        <v>54</v>
      </c>
      <c r="H79" s="4" t="s">
        <v>52</v>
      </c>
      <c r="I79" s="7" t="s">
        <v>49</v>
      </c>
      <c r="J79" s="4">
        <v>1</v>
      </c>
    </row>
    <row r="80" spans="1:11" ht="13" x14ac:dyDescent="0.15">
      <c r="C80" s="9"/>
    </row>
    <row r="81" spans="3:3" ht="13" x14ac:dyDescent="0.15">
      <c r="C81" s="9"/>
    </row>
    <row r="82" spans="3:3" ht="13" x14ac:dyDescent="0.15">
      <c r="C82" s="9"/>
    </row>
    <row r="83" spans="3:3" ht="13" x14ac:dyDescent="0.15">
      <c r="C83" s="9"/>
    </row>
    <row r="84" spans="3:3" ht="13" x14ac:dyDescent="0.15">
      <c r="C84" s="9"/>
    </row>
    <row r="85" spans="3:3" ht="13" x14ac:dyDescent="0.15">
      <c r="C85" s="9"/>
    </row>
    <row r="86" spans="3:3" ht="13" x14ac:dyDescent="0.15">
      <c r="C86" s="9"/>
    </row>
    <row r="87" spans="3:3" ht="13" x14ac:dyDescent="0.15">
      <c r="C87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5"/>
  <sheetViews>
    <sheetView workbookViewId="0"/>
  </sheetViews>
  <sheetFormatPr baseColWidth="10" defaultColWidth="12.6640625" defaultRowHeight="15.75" customHeight="1" x14ac:dyDescent="0.15"/>
  <cols>
    <col min="1" max="2" width="19" customWidth="1"/>
  </cols>
  <sheetData>
    <row r="1" spans="1:5" ht="15.75" customHeight="1" x14ac:dyDescent="0.15">
      <c r="A1" s="3" t="s">
        <v>2</v>
      </c>
      <c r="B1" s="3"/>
      <c r="C1" s="3"/>
      <c r="D1" s="3"/>
      <c r="E1" s="3"/>
    </row>
    <row r="2" spans="1:5" ht="15.75" customHeight="1" x14ac:dyDescent="0.15">
      <c r="A2" s="3" t="s">
        <v>9</v>
      </c>
      <c r="B2" s="3" t="s">
        <v>11</v>
      </c>
      <c r="C2" s="3"/>
      <c r="D2" s="3" t="s">
        <v>14</v>
      </c>
      <c r="E2" s="3" t="s">
        <v>15</v>
      </c>
    </row>
    <row r="3" spans="1:5" ht="15.75" customHeight="1" x14ac:dyDescent="0.15">
      <c r="A3" s="4" t="s">
        <v>18</v>
      </c>
      <c r="B3" s="7" t="s">
        <v>21</v>
      </c>
      <c r="D3" s="4">
        <f>SUM('Recompiled Data'!G83,'Recompiled Data'!G112,'Recompiled Data'!G125)</f>
        <v>42</v>
      </c>
      <c r="E3" s="4">
        <v>3</v>
      </c>
    </row>
    <row r="4" spans="1:5" ht="15.75" customHeight="1" x14ac:dyDescent="0.15">
      <c r="A4" s="20" t="s">
        <v>37</v>
      </c>
      <c r="B4" s="11" t="s">
        <v>39</v>
      </c>
      <c r="D4" s="4">
        <f>SUM('Recompiled Data'!G67,'Recompiled Data'!G73)</f>
        <v>30</v>
      </c>
      <c r="E4" s="4">
        <v>2</v>
      </c>
    </row>
    <row r="5" spans="1:5" ht="15.75" customHeight="1" x14ac:dyDescent="0.15">
      <c r="A5" s="20" t="s">
        <v>44</v>
      </c>
      <c r="B5" s="11" t="s">
        <v>29</v>
      </c>
      <c r="D5" s="4">
        <f>SUM('Recompiled Data'!G3,'Recompiled Data'!G29,'Recompiled Data'!G41)</f>
        <v>37</v>
      </c>
      <c r="E5" s="4">
        <v>3</v>
      </c>
    </row>
    <row r="6" spans="1:5" ht="15.75" customHeight="1" x14ac:dyDescent="0.15">
      <c r="A6" s="4" t="s">
        <v>41</v>
      </c>
      <c r="B6" s="7" t="s">
        <v>42</v>
      </c>
      <c r="D6" s="4">
        <v>1</v>
      </c>
      <c r="E6" s="4">
        <v>1</v>
      </c>
    </row>
    <row r="7" spans="1:5" ht="15.75" customHeight="1" x14ac:dyDescent="0.15">
      <c r="A7" s="4" t="s">
        <v>48</v>
      </c>
      <c r="B7" s="7" t="s">
        <v>49</v>
      </c>
      <c r="D7" s="4">
        <f>SUM('Recompiled Data'!G76,'Recompiled Data'!G80)</f>
        <v>5</v>
      </c>
      <c r="E7" s="4">
        <v>2</v>
      </c>
    </row>
    <row r="9" spans="1:5" ht="15.75" customHeight="1" x14ac:dyDescent="0.15">
      <c r="A9" s="3" t="s">
        <v>50</v>
      </c>
      <c r="B9" s="3"/>
      <c r="C9" s="3"/>
      <c r="D9" s="3"/>
      <c r="E9" s="3"/>
    </row>
    <row r="10" spans="1:5" ht="15.75" customHeight="1" x14ac:dyDescent="0.15">
      <c r="A10" s="3" t="s">
        <v>9</v>
      </c>
      <c r="B10" s="3" t="s">
        <v>11</v>
      </c>
      <c r="C10" s="3"/>
      <c r="D10" s="3" t="s">
        <v>14</v>
      </c>
      <c r="E10" s="3" t="s">
        <v>15</v>
      </c>
    </row>
    <row r="11" spans="1:5" ht="15.75" customHeight="1" x14ac:dyDescent="0.15">
      <c r="A11" s="4" t="s">
        <v>18</v>
      </c>
      <c r="B11" s="7" t="s">
        <v>21</v>
      </c>
      <c r="D11" s="4">
        <f>SUM('Recompiled Data'!G237,'Recompiled Data'!G243,'Recompiled Data'!G246,'Recompiled Data'!G250)</f>
        <v>14</v>
      </c>
      <c r="E11" s="4">
        <v>4</v>
      </c>
    </row>
    <row r="12" spans="1:5" ht="15.75" customHeight="1" x14ac:dyDescent="0.15">
      <c r="A12" s="20" t="s">
        <v>37</v>
      </c>
      <c r="B12" s="11" t="s">
        <v>39</v>
      </c>
      <c r="D12" s="4">
        <f>SUM('Recompiled Data'!G580,'Recompiled Data'!G582,'Recompiled Data'!G584,'Recompiled Data'!G586)</f>
        <v>5</v>
      </c>
      <c r="E12" s="4">
        <v>4</v>
      </c>
    </row>
    <row r="13" spans="1:5" ht="15.75" customHeight="1" x14ac:dyDescent="0.15">
      <c r="A13" s="20" t="s">
        <v>44</v>
      </c>
      <c r="B13" s="11" t="s">
        <v>29</v>
      </c>
      <c r="D13" s="4">
        <f>SUM('Recompiled Data'!G590,'Recompiled Data'!G596,'Recompiled Data'!G604,'Recompiled Data'!G615)</f>
        <v>25</v>
      </c>
      <c r="E13" s="4">
        <v>4</v>
      </c>
    </row>
    <row r="14" spans="1:5" ht="15.75" customHeight="1" x14ac:dyDescent="0.15">
      <c r="A14" s="4" t="s">
        <v>41</v>
      </c>
      <c r="B14" s="7" t="s">
        <v>42</v>
      </c>
      <c r="D14" s="4">
        <f>SUM('Recompiled Data'!G153,'Recompiled Data'!G179,'Recompiled Data'!G205,'Recompiled Data'!G232)</f>
        <v>103</v>
      </c>
      <c r="E14" s="4">
        <v>4</v>
      </c>
    </row>
    <row r="15" spans="1:5" ht="15.75" customHeight="1" x14ac:dyDescent="0.15">
      <c r="A15" s="4" t="s">
        <v>48</v>
      </c>
      <c r="B15" s="7" t="s">
        <v>49</v>
      </c>
      <c r="D15" s="4">
        <f>SUM('Recompiled Data'!G255,'Recompiled Data'!G300,'Recompiled Data'!G354,'Recompiled Data'!G425,'Recompiled Data'!G479,'Recompiled Data'!G530,'Recompiled Data'!G544,'Recompiled Data'!G577)</f>
        <v>319</v>
      </c>
      <c r="E15" s="4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4"/>
  <sheetViews>
    <sheetView workbookViewId="0"/>
  </sheetViews>
  <sheetFormatPr baseColWidth="10" defaultColWidth="12.6640625" defaultRowHeight="15.75" customHeight="1" x14ac:dyDescent="0.15"/>
  <cols>
    <col min="1" max="1" width="18.6640625" customWidth="1"/>
  </cols>
  <sheetData>
    <row r="1" spans="1:7" ht="15.75" customHeight="1" x14ac:dyDescent="0.15">
      <c r="A1" s="37" t="s">
        <v>56</v>
      </c>
    </row>
    <row r="2" spans="1:7" ht="15.75" customHeight="1" x14ac:dyDescent="0.15">
      <c r="A2" s="38" t="s">
        <v>57</v>
      </c>
      <c r="B2" s="38" t="s">
        <v>11</v>
      </c>
      <c r="C2" s="39"/>
      <c r="E2" s="40">
        <v>46289.043055555558</v>
      </c>
    </row>
    <row r="3" spans="1:7" ht="15.75" customHeight="1" x14ac:dyDescent="0.15">
      <c r="A3" s="41" t="s">
        <v>47</v>
      </c>
      <c r="B3" s="42" t="s">
        <v>39</v>
      </c>
      <c r="C3" s="43"/>
      <c r="E3" s="4" t="s">
        <v>58</v>
      </c>
      <c r="G3" s="4" t="s">
        <v>59</v>
      </c>
    </row>
    <row r="4" spans="1:7" ht="15.75" customHeight="1" x14ac:dyDescent="0.15">
      <c r="A4" s="44" t="s">
        <v>60</v>
      </c>
      <c r="B4" s="45" t="s">
        <v>61</v>
      </c>
      <c r="C4" s="45"/>
      <c r="E4" s="4" t="s">
        <v>62</v>
      </c>
      <c r="G4" s="4" t="s">
        <v>63</v>
      </c>
    </row>
    <row r="5" spans="1:7" ht="15.75" customHeight="1" x14ac:dyDescent="0.15">
      <c r="A5" s="44" t="s">
        <v>64</v>
      </c>
      <c r="B5" s="46" t="s">
        <v>49</v>
      </c>
      <c r="C5" s="46"/>
      <c r="E5" s="4" t="s">
        <v>66</v>
      </c>
    </row>
    <row r="6" spans="1:7" ht="15.75" customHeight="1" x14ac:dyDescent="0.15">
      <c r="A6" s="44" t="s">
        <v>67</v>
      </c>
      <c r="B6" s="46" t="s">
        <v>68</v>
      </c>
      <c r="C6" s="46"/>
    </row>
    <row r="7" spans="1:7" ht="15.75" customHeight="1" x14ac:dyDescent="0.15">
      <c r="A7" s="4"/>
      <c r="B7" s="7"/>
      <c r="C7" s="7"/>
    </row>
    <row r="8" spans="1:7" ht="15.75" customHeight="1" x14ac:dyDescent="0.15">
      <c r="A8" s="2" t="s">
        <v>69</v>
      </c>
    </row>
    <row r="9" spans="1:7" ht="15.75" customHeight="1" x14ac:dyDescent="0.15">
      <c r="A9" s="38" t="s">
        <v>57</v>
      </c>
      <c r="B9" s="38" t="s">
        <v>11</v>
      </c>
      <c r="C9" s="39"/>
    </row>
    <row r="10" spans="1:7" ht="15.75" customHeight="1" x14ac:dyDescent="0.15">
      <c r="A10" s="41" t="s">
        <v>47</v>
      </c>
      <c r="B10" s="42" t="s">
        <v>39</v>
      </c>
      <c r="C10" s="43"/>
    </row>
    <row r="11" spans="1:7" ht="15.75" customHeight="1" x14ac:dyDescent="0.15">
      <c r="A11" s="44" t="s">
        <v>60</v>
      </c>
      <c r="B11" s="45" t="s">
        <v>61</v>
      </c>
      <c r="C11" s="45"/>
    </row>
    <row r="12" spans="1:7" ht="15.75" customHeight="1" x14ac:dyDescent="0.15">
      <c r="A12" s="44" t="s">
        <v>64</v>
      </c>
      <c r="B12" s="46" t="s">
        <v>49</v>
      </c>
      <c r="C12" s="46"/>
    </row>
    <row r="13" spans="1:7" ht="15.75" customHeight="1" x14ac:dyDescent="0.15">
      <c r="A13" s="44" t="s">
        <v>67</v>
      </c>
      <c r="B13" s="46" t="s">
        <v>68</v>
      </c>
      <c r="C13" s="46"/>
    </row>
    <row r="14" spans="1:7" ht="15.75" customHeight="1" x14ac:dyDescent="0.15">
      <c r="A14" s="47" t="s">
        <v>21</v>
      </c>
      <c r="B14" s="47" t="s">
        <v>21</v>
      </c>
      <c r="C14" s="4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66"/>
  <sheetViews>
    <sheetView workbookViewId="0"/>
  </sheetViews>
  <sheetFormatPr baseColWidth="10" defaultColWidth="12.6640625" defaultRowHeight="15.75" customHeight="1" x14ac:dyDescent="0.15"/>
  <cols>
    <col min="1" max="1" width="18.6640625" customWidth="1"/>
    <col min="4" max="4" width="16.83203125" customWidth="1"/>
    <col min="5" max="5" width="20" customWidth="1"/>
    <col min="9" max="9" width="46.33203125" customWidth="1"/>
    <col min="11" max="11" width="44.33203125" customWidth="1"/>
  </cols>
  <sheetData>
    <row r="1" spans="1:11" ht="15.75" customHeight="1" x14ac:dyDescent="0.15">
      <c r="A1" s="37" t="s">
        <v>56</v>
      </c>
      <c r="E1" s="37"/>
    </row>
    <row r="2" spans="1:11" ht="15.75" customHeight="1" x14ac:dyDescent="0.3">
      <c r="A2" s="38" t="s">
        <v>57</v>
      </c>
      <c r="B2" s="38" t="s">
        <v>11</v>
      </c>
      <c r="C2" s="39"/>
      <c r="D2" s="37" t="s">
        <v>74</v>
      </c>
      <c r="E2" s="37" t="s">
        <v>75</v>
      </c>
      <c r="F2" s="2"/>
      <c r="H2" s="4"/>
      <c r="I2" s="58" t="s">
        <v>56</v>
      </c>
      <c r="J2" s="59"/>
      <c r="K2" s="59"/>
    </row>
    <row r="3" spans="1:11" ht="15.75" customHeight="1" x14ac:dyDescent="0.3">
      <c r="A3" s="41" t="s">
        <v>47</v>
      </c>
      <c r="B3" s="42" t="s">
        <v>39</v>
      </c>
      <c r="C3" s="43"/>
      <c r="D3" s="60" t="s">
        <v>76</v>
      </c>
      <c r="E3" s="61" t="s">
        <v>76</v>
      </c>
      <c r="F3" s="7"/>
      <c r="G3" s="7"/>
      <c r="I3" s="62" t="s">
        <v>57</v>
      </c>
      <c r="J3" s="62" t="s">
        <v>11</v>
      </c>
      <c r="K3" s="63"/>
    </row>
    <row r="4" spans="1:11" ht="15.75" customHeight="1" x14ac:dyDescent="0.3">
      <c r="A4" s="44" t="s">
        <v>60</v>
      </c>
      <c r="B4" s="45" t="s">
        <v>61</v>
      </c>
      <c r="C4" s="45"/>
      <c r="D4" s="64" t="s">
        <v>76</v>
      </c>
      <c r="E4" s="61" t="s">
        <v>76</v>
      </c>
      <c r="F4" s="7"/>
      <c r="G4" s="7"/>
      <c r="I4" s="66" t="s">
        <v>37</v>
      </c>
      <c r="J4" s="67" t="s">
        <v>39</v>
      </c>
      <c r="K4" s="68"/>
    </row>
    <row r="5" spans="1:11" ht="15.75" customHeight="1" x14ac:dyDescent="0.3">
      <c r="A5" s="44" t="s">
        <v>64</v>
      </c>
      <c r="B5" s="46" t="s">
        <v>49</v>
      </c>
      <c r="C5" s="46"/>
      <c r="D5" s="60" t="s">
        <v>76</v>
      </c>
      <c r="E5" s="61" t="s">
        <v>76</v>
      </c>
      <c r="F5" s="7"/>
      <c r="G5" s="7"/>
      <c r="I5" s="69" t="s">
        <v>44</v>
      </c>
      <c r="J5" s="70" t="s">
        <v>61</v>
      </c>
      <c r="K5" s="70"/>
    </row>
    <row r="6" spans="1:11" ht="15.75" customHeight="1" x14ac:dyDescent="0.3">
      <c r="A6" s="44" t="s">
        <v>67</v>
      </c>
      <c r="B6" s="71" t="s">
        <v>68</v>
      </c>
      <c r="C6" s="46"/>
      <c r="D6" s="60" t="s">
        <v>76</v>
      </c>
      <c r="E6" s="61" t="s">
        <v>76</v>
      </c>
      <c r="F6" s="7"/>
      <c r="G6" s="7"/>
      <c r="I6" s="69" t="s">
        <v>64</v>
      </c>
      <c r="J6" s="72" t="s">
        <v>49</v>
      </c>
      <c r="K6" s="72"/>
    </row>
    <row r="7" spans="1:11" ht="15.75" customHeight="1" x14ac:dyDescent="0.3">
      <c r="A7" s="73" t="s">
        <v>38</v>
      </c>
      <c r="B7" s="47" t="s">
        <v>21</v>
      </c>
      <c r="C7" s="48"/>
      <c r="D7" s="60"/>
      <c r="E7" s="61" t="s">
        <v>76</v>
      </c>
      <c r="F7" s="7"/>
      <c r="G7" s="7"/>
      <c r="I7" s="69" t="s">
        <v>67</v>
      </c>
      <c r="J7" s="72" t="s">
        <v>68</v>
      </c>
      <c r="K7" s="72"/>
    </row>
    <row r="8" spans="1:11" ht="15.75" customHeight="1" x14ac:dyDescent="0.3">
      <c r="I8" s="59"/>
      <c r="J8" s="74"/>
      <c r="K8" s="74"/>
    </row>
    <row r="9" spans="1:11" ht="15.75" customHeight="1" x14ac:dyDescent="0.3">
      <c r="A9" s="2"/>
      <c r="B9" s="2"/>
      <c r="C9" s="2"/>
      <c r="D9" s="2"/>
      <c r="I9" s="58" t="s">
        <v>77</v>
      </c>
      <c r="J9" s="59"/>
      <c r="K9" s="59"/>
    </row>
    <row r="10" spans="1:11" ht="15.75" customHeight="1" x14ac:dyDescent="0.3">
      <c r="I10" s="62" t="s">
        <v>57</v>
      </c>
      <c r="J10" s="62" t="s">
        <v>11</v>
      </c>
      <c r="K10" s="63"/>
    </row>
    <row r="11" spans="1:11" ht="15.75" customHeight="1" x14ac:dyDescent="0.3">
      <c r="A11" s="4" t="s">
        <v>69</v>
      </c>
      <c r="I11" s="66" t="s">
        <v>37</v>
      </c>
      <c r="J11" s="67" t="s">
        <v>39</v>
      </c>
      <c r="K11" s="68"/>
    </row>
    <row r="12" spans="1:11" ht="15.75" customHeight="1" x14ac:dyDescent="0.3">
      <c r="A12" s="38" t="s">
        <v>57</v>
      </c>
      <c r="B12" s="38" t="s">
        <v>11</v>
      </c>
      <c r="C12" s="39"/>
      <c r="D12" s="37" t="s">
        <v>74</v>
      </c>
      <c r="E12" s="37" t="s">
        <v>75</v>
      </c>
      <c r="F12" s="38" t="s">
        <v>57</v>
      </c>
      <c r="G12" s="39"/>
      <c r="I12" s="69" t="s">
        <v>44</v>
      </c>
      <c r="J12" s="70" t="s">
        <v>61</v>
      </c>
      <c r="K12" s="70"/>
    </row>
    <row r="13" spans="1:11" ht="15.75" customHeight="1" x14ac:dyDescent="0.3">
      <c r="A13" s="42" t="s">
        <v>39</v>
      </c>
      <c r="B13" s="43"/>
      <c r="C13" s="43"/>
      <c r="D13" s="60">
        <v>25</v>
      </c>
      <c r="E13" s="61">
        <v>20</v>
      </c>
      <c r="F13" s="42" t="s">
        <v>39</v>
      </c>
      <c r="G13" s="43"/>
      <c r="I13" s="69" t="s">
        <v>64</v>
      </c>
      <c r="J13" s="72" t="s">
        <v>49</v>
      </c>
      <c r="K13" s="72"/>
    </row>
    <row r="14" spans="1:11" ht="15.75" customHeight="1" x14ac:dyDescent="0.3">
      <c r="A14" s="45" t="s">
        <v>29</v>
      </c>
      <c r="B14" s="45"/>
      <c r="C14" s="45"/>
      <c r="D14" s="60">
        <v>25</v>
      </c>
      <c r="E14" s="61">
        <v>20</v>
      </c>
      <c r="F14" s="45" t="s">
        <v>29</v>
      </c>
      <c r="G14" s="45"/>
      <c r="I14" s="69" t="s">
        <v>67</v>
      </c>
      <c r="J14" s="72" t="s">
        <v>68</v>
      </c>
      <c r="K14" s="72"/>
    </row>
    <row r="15" spans="1:11" ht="15.75" customHeight="1" x14ac:dyDescent="0.3">
      <c r="A15" s="46" t="s">
        <v>49</v>
      </c>
      <c r="B15" s="46"/>
      <c r="C15" s="46"/>
      <c r="D15" s="60">
        <v>25</v>
      </c>
      <c r="E15" s="61">
        <v>20</v>
      </c>
      <c r="F15" s="46" t="s">
        <v>49</v>
      </c>
      <c r="G15" s="46"/>
      <c r="I15" s="75" t="s">
        <v>38</v>
      </c>
      <c r="J15" s="76" t="s">
        <v>21</v>
      </c>
      <c r="K15" s="77"/>
    </row>
    <row r="16" spans="1:11" ht="15.75" customHeight="1" x14ac:dyDescent="0.15">
      <c r="A16" s="71" t="s">
        <v>42</v>
      </c>
      <c r="B16" s="46"/>
      <c r="C16" s="46"/>
      <c r="D16" s="60">
        <v>25</v>
      </c>
      <c r="E16" s="61">
        <v>20</v>
      </c>
      <c r="F16" s="71" t="s">
        <v>42</v>
      </c>
      <c r="G16" s="46"/>
    </row>
    <row r="17" spans="1:7" ht="15.75" customHeight="1" x14ac:dyDescent="0.15">
      <c r="A17" s="47" t="s">
        <v>21</v>
      </c>
      <c r="B17" s="47" t="s">
        <v>21</v>
      </c>
      <c r="C17" s="48"/>
      <c r="D17" s="60">
        <v>0</v>
      </c>
      <c r="E17" s="61">
        <v>20</v>
      </c>
      <c r="F17" s="47" t="s">
        <v>21</v>
      </c>
      <c r="G17" s="48"/>
    </row>
    <row r="65" spans="1:2" ht="13" x14ac:dyDescent="0.15">
      <c r="A65" s="4" t="s">
        <v>74</v>
      </c>
      <c r="B65" s="4">
        <v>4</v>
      </c>
    </row>
    <row r="66" spans="1:2" ht="13" x14ac:dyDescent="0.15">
      <c r="A66" s="4" t="s">
        <v>75</v>
      </c>
      <c r="B66" s="4">
        <v>5</v>
      </c>
    </row>
  </sheetData>
  <conditionalFormatting sqref="I15:K15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T27"/>
  <sheetViews>
    <sheetView workbookViewId="0"/>
  </sheetViews>
  <sheetFormatPr baseColWidth="10" defaultColWidth="12.6640625" defaultRowHeight="15.75" customHeight="1" x14ac:dyDescent="0.15"/>
  <cols>
    <col min="2" max="2" width="14" customWidth="1"/>
    <col min="4" max="4" width="17.5" customWidth="1"/>
    <col min="10" max="10" width="16.33203125" customWidth="1"/>
    <col min="11" max="11" width="11.83203125" customWidth="1"/>
  </cols>
  <sheetData>
    <row r="1" spans="1:20" ht="15.75" customHeight="1" x14ac:dyDescent="0.15">
      <c r="A1" s="4" t="s">
        <v>78</v>
      </c>
      <c r="I1" s="4" t="s">
        <v>72</v>
      </c>
      <c r="O1" s="4" t="s">
        <v>73</v>
      </c>
    </row>
    <row r="2" spans="1:20" ht="15.75" customHeight="1" x14ac:dyDescent="0.15">
      <c r="A2" s="80"/>
      <c r="B2" s="81" t="s">
        <v>18</v>
      </c>
      <c r="C2" s="81" t="s">
        <v>37</v>
      </c>
      <c r="D2" s="81" t="s">
        <v>44</v>
      </c>
      <c r="E2" s="81" t="s">
        <v>41</v>
      </c>
      <c r="F2" s="81" t="s">
        <v>48</v>
      </c>
      <c r="J2" s="4" t="s">
        <v>44</v>
      </c>
      <c r="K2" s="4" t="s">
        <v>37</v>
      </c>
      <c r="L2" s="4" t="s">
        <v>18</v>
      </c>
      <c r="M2" s="4" t="s">
        <v>41</v>
      </c>
      <c r="N2" s="4" t="s">
        <v>48</v>
      </c>
      <c r="O2" s="55"/>
      <c r="P2" s="4" t="s">
        <v>44</v>
      </c>
      <c r="Q2" s="4" t="s">
        <v>37</v>
      </c>
      <c r="R2" s="4" t="s">
        <v>18</v>
      </c>
      <c r="S2" s="4" t="s">
        <v>41</v>
      </c>
      <c r="T2" s="4" t="s">
        <v>48</v>
      </c>
    </row>
    <row r="3" spans="1:20" ht="15.75" customHeight="1" x14ac:dyDescent="0.15">
      <c r="A3" s="81" t="s">
        <v>79</v>
      </c>
      <c r="B3" s="80">
        <v>42</v>
      </c>
      <c r="C3" s="80">
        <v>30</v>
      </c>
      <c r="D3" s="80">
        <v>37</v>
      </c>
      <c r="E3" s="80">
        <v>1</v>
      </c>
      <c r="F3" s="80">
        <v>5</v>
      </c>
      <c r="I3" s="56">
        <v>0</v>
      </c>
      <c r="J3" s="4">
        <v>1</v>
      </c>
      <c r="K3" s="4">
        <v>1</v>
      </c>
      <c r="L3" s="4">
        <v>1</v>
      </c>
      <c r="M3" s="4">
        <v>0</v>
      </c>
      <c r="N3" s="4">
        <v>0</v>
      </c>
      <c r="O3" s="57">
        <v>0</v>
      </c>
      <c r="P3" s="4">
        <v>1</v>
      </c>
      <c r="Q3" s="4">
        <v>1</v>
      </c>
      <c r="R3" s="4">
        <v>1</v>
      </c>
      <c r="S3" s="4">
        <v>1</v>
      </c>
      <c r="T3" s="4">
        <v>1</v>
      </c>
    </row>
    <row r="4" spans="1:20" ht="15.75" customHeight="1" x14ac:dyDescent="0.15">
      <c r="A4" s="81" t="s">
        <v>80</v>
      </c>
      <c r="B4" s="80">
        <v>14</v>
      </c>
      <c r="C4" s="80">
        <v>5</v>
      </c>
      <c r="D4" s="80">
        <v>25</v>
      </c>
      <c r="E4" s="80">
        <v>103</v>
      </c>
      <c r="F4" s="80">
        <v>319</v>
      </c>
      <c r="I4" s="56">
        <v>4.1666666666666664E-2</v>
      </c>
      <c r="J4" s="4">
        <v>1</v>
      </c>
      <c r="K4" s="4">
        <v>1</v>
      </c>
      <c r="L4" s="4">
        <v>1</v>
      </c>
      <c r="M4" s="4">
        <v>0</v>
      </c>
      <c r="N4" s="4">
        <v>0</v>
      </c>
      <c r="O4" s="57">
        <v>4.1666666666666664E-2</v>
      </c>
      <c r="P4" s="4">
        <v>1</v>
      </c>
      <c r="Q4" s="4">
        <v>0</v>
      </c>
      <c r="R4" s="4">
        <v>1</v>
      </c>
      <c r="S4" s="4">
        <v>1</v>
      </c>
      <c r="T4" s="4">
        <v>1</v>
      </c>
    </row>
    <row r="5" spans="1:20" ht="15.75" customHeight="1" x14ac:dyDescent="0.15">
      <c r="I5" s="56">
        <v>8.3333333333333329E-2</v>
      </c>
      <c r="J5" s="4">
        <v>1</v>
      </c>
      <c r="K5" s="4">
        <v>0</v>
      </c>
      <c r="L5" s="4">
        <v>1</v>
      </c>
      <c r="M5" s="4">
        <v>0</v>
      </c>
      <c r="N5" s="4">
        <v>0</v>
      </c>
      <c r="O5" s="57">
        <v>8.3333333333333329E-2</v>
      </c>
      <c r="P5" s="4">
        <v>1</v>
      </c>
      <c r="Q5" s="4">
        <v>1</v>
      </c>
      <c r="R5" s="4">
        <v>0</v>
      </c>
      <c r="S5" s="4">
        <v>1</v>
      </c>
      <c r="T5" s="4">
        <v>1</v>
      </c>
    </row>
    <row r="6" spans="1:20" ht="15.75" customHeight="1" x14ac:dyDescent="0.15">
      <c r="I6" s="56">
        <v>0.125</v>
      </c>
      <c r="J6" s="4">
        <v>1</v>
      </c>
      <c r="K6" s="4">
        <v>1</v>
      </c>
      <c r="L6" s="4">
        <v>0</v>
      </c>
      <c r="M6" s="4">
        <v>0</v>
      </c>
      <c r="N6" s="4">
        <v>1</v>
      </c>
      <c r="O6" s="57">
        <v>0.125</v>
      </c>
      <c r="P6" s="4">
        <v>0</v>
      </c>
      <c r="Q6" s="4">
        <v>1</v>
      </c>
      <c r="R6" s="4">
        <v>0</v>
      </c>
      <c r="S6" s="4">
        <v>1</v>
      </c>
      <c r="T6" s="4">
        <v>1</v>
      </c>
    </row>
    <row r="7" spans="1:20" ht="15.75" customHeight="1" x14ac:dyDescent="0.15">
      <c r="I7" s="56">
        <v>0.16666666666666666</v>
      </c>
      <c r="J7" s="4">
        <v>1</v>
      </c>
      <c r="K7" s="4">
        <v>1</v>
      </c>
      <c r="L7" s="4">
        <v>0</v>
      </c>
      <c r="M7" s="4">
        <v>0</v>
      </c>
      <c r="N7" s="4">
        <v>1</v>
      </c>
      <c r="O7" s="57">
        <v>0.16666666666666666</v>
      </c>
      <c r="P7" s="4">
        <v>0</v>
      </c>
      <c r="Q7" s="4">
        <v>0</v>
      </c>
      <c r="R7" s="4">
        <v>0</v>
      </c>
      <c r="S7" s="4">
        <v>1</v>
      </c>
      <c r="T7" s="4">
        <v>1</v>
      </c>
    </row>
    <row r="8" spans="1:20" ht="15.75" customHeight="1" x14ac:dyDescent="0.15">
      <c r="I8" s="56">
        <v>0.20833333333333334</v>
      </c>
      <c r="J8" s="4">
        <v>1</v>
      </c>
      <c r="K8" s="4">
        <v>1</v>
      </c>
      <c r="L8" s="4">
        <v>1</v>
      </c>
      <c r="M8" s="4">
        <v>0</v>
      </c>
      <c r="N8" s="4">
        <v>0</v>
      </c>
      <c r="O8" s="57">
        <v>0.20833333333333334</v>
      </c>
      <c r="P8" s="4">
        <v>1</v>
      </c>
      <c r="Q8" s="4">
        <v>0</v>
      </c>
      <c r="R8" s="4">
        <v>1</v>
      </c>
      <c r="S8" s="4">
        <v>1</v>
      </c>
      <c r="T8" s="4">
        <v>1</v>
      </c>
    </row>
    <row r="9" spans="1:20" ht="15.75" customHeight="1" x14ac:dyDescent="0.15">
      <c r="I9" s="56">
        <v>0.25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57">
        <v>0.25</v>
      </c>
      <c r="P9" s="4">
        <v>0</v>
      </c>
      <c r="Q9" s="4">
        <v>1</v>
      </c>
      <c r="R9" s="4">
        <v>1</v>
      </c>
      <c r="S9" s="4">
        <v>1</v>
      </c>
      <c r="T9" s="4">
        <v>1</v>
      </c>
    </row>
    <row r="10" spans="1:20" ht="15.75" customHeight="1" x14ac:dyDescent="0.15">
      <c r="I10" s="56">
        <v>0.29166666666666669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57">
        <v>0.29166666666666669</v>
      </c>
      <c r="P10" s="4">
        <v>0</v>
      </c>
      <c r="Q10" s="4">
        <v>0</v>
      </c>
      <c r="R10" s="4">
        <v>0</v>
      </c>
      <c r="S10" s="4">
        <v>1</v>
      </c>
      <c r="T10" s="4">
        <v>1</v>
      </c>
    </row>
    <row r="11" spans="1:20" ht="15.75" customHeight="1" x14ac:dyDescent="0.15">
      <c r="I11" s="56">
        <v>0.33333333333333331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57">
        <v>0.33333333333333331</v>
      </c>
      <c r="P11" s="4">
        <v>0</v>
      </c>
      <c r="Q11" s="4">
        <v>0</v>
      </c>
      <c r="R11" s="4">
        <v>0</v>
      </c>
      <c r="S11" s="4">
        <v>1</v>
      </c>
      <c r="T11" s="4">
        <v>1</v>
      </c>
    </row>
    <row r="12" spans="1:20" ht="15.75" customHeight="1" x14ac:dyDescent="0.15">
      <c r="I12" s="56">
        <v>0.375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57">
        <v>0.375</v>
      </c>
      <c r="P12" s="4">
        <v>0</v>
      </c>
      <c r="Q12" s="4">
        <v>0</v>
      </c>
      <c r="R12" s="4">
        <v>0</v>
      </c>
      <c r="S12" s="4">
        <v>1</v>
      </c>
      <c r="T12" s="4">
        <v>1</v>
      </c>
    </row>
    <row r="13" spans="1:20" ht="15.75" customHeight="1" x14ac:dyDescent="0.15">
      <c r="I13" s="56">
        <v>0.41666666666666669</v>
      </c>
      <c r="J13" s="4">
        <v>0</v>
      </c>
      <c r="K13" s="4">
        <v>1</v>
      </c>
      <c r="L13" s="4">
        <v>0</v>
      </c>
      <c r="M13" s="4">
        <v>0</v>
      </c>
      <c r="N13" s="4">
        <v>0</v>
      </c>
      <c r="O13" s="57">
        <v>0.41666666666666669</v>
      </c>
      <c r="P13" s="4">
        <v>0</v>
      </c>
      <c r="Q13" s="4">
        <v>0</v>
      </c>
      <c r="R13" s="4">
        <v>0</v>
      </c>
      <c r="S13" s="4">
        <v>1</v>
      </c>
      <c r="T13" s="4">
        <v>1</v>
      </c>
    </row>
    <row r="14" spans="1:20" ht="15.75" customHeight="1" x14ac:dyDescent="0.15">
      <c r="I14" s="56">
        <v>0.45833333333333331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57">
        <v>0.45833333333333331</v>
      </c>
      <c r="P14" s="4">
        <v>0</v>
      </c>
      <c r="Q14" s="4">
        <v>0</v>
      </c>
      <c r="R14" s="4">
        <v>0</v>
      </c>
      <c r="S14" s="4">
        <v>1</v>
      </c>
      <c r="T14" s="4">
        <v>1</v>
      </c>
    </row>
    <row r="15" spans="1:20" ht="15.75" customHeight="1" x14ac:dyDescent="0.15">
      <c r="I15" s="56">
        <v>0.5</v>
      </c>
      <c r="J15" s="4">
        <v>0</v>
      </c>
      <c r="K15" s="4">
        <v>0</v>
      </c>
      <c r="L15" s="4">
        <v>1</v>
      </c>
      <c r="M15" s="4">
        <v>0</v>
      </c>
      <c r="N15" s="4">
        <v>0</v>
      </c>
      <c r="O15" s="57">
        <v>0.5</v>
      </c>
      <c r="P15" s="4">
        <v>0</v>
      </c>
      <c r="Q15" s="4">
        <v>0</v>
      </c>
      <c r="R15" s="4">
        <v>0</v>
      </c>
      <c r="S15" s="4">
        <v>1</v>
      </c>
      <c r="T15" s="4">
        <v>1</v>
      </c>
    </row>
    <row r="16" spans="1:20" ht="15.75" customHeight="1" x14ac:dyDescent="0.15">
      <c r="I16" s="56">
        <v>0.54166666666666663</v>
      </c>
      <c r="J16" s="4">
        <v>1</v>
      </c>
      <c r="K16" s="4">
        <v>0</v>
      </c>
      <c r="L16" s="4">
        <v>1</v>
      </c>
      <c r="M16" s="4">
        <v>0</v>
      </c>
      <c r="N16" s="4">
        <v>0</v>
      </c>
      <c r="O16" s="57">
        <v>0.54166666666666663</v>
      </c>
      <c r="P16" s="4">
        <v>0</v>
      </c>
      <c r="Q16" s="4">
        <v>0</v>
      </c>
      <c r="R16" s="4">
        <v>0</v>
      </c>
      <c r="S16" s="4">
        <v>1</v>
      </c>
      <c r="T16" s="4">
        <v>1</v>
      </c>
    </row>
    <row r="17" spans="9:20" ht="15.75" customHeight="1" x14ac:dyDescent="0.15">
      <c r="I17" s="56">
        <v>0.58333333333333337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57">
        <v>0.58333333333333337</v>
      </c>
      <c r="P17" s="4">
        <v>1</v>
      </c>
      <c r="Q17" s="4">
        <v>0</v>
      </c>
      <c r="R17" s="4">
        <v>0</v>
      </c>
      <c r="S17" s="4">
        <v>1</v>
      </c>
      <c r="T17" s="4">
        <v>0</v>
      </c>
    </row>
    <row r="18" spans="9:20" ht="15.75" customHeight="1" x14ac:dyDescent="0.15">
      <c r="I18" s="56">
        <v>0.625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57">
        <v>0.625</v>
      </c>
      <c r="P18" s="4">
        <v>0</v>
      </c>
      <c r="Q18" s="4">
        <v>0</v>
      </c>
      <c r="R18" s="4">
        <v>0</v>
      </c>
      <c r="S18" s="4">
        <v>1</v>
      </c>
      <c r="T18" s="4">
        <v>0</v>
      </c>
    </row>
    <row r="19" spans="9:20" ht="15.75" customHeight="1" x14ac:dyDescent="0.15">
      <c r="I19" s="56">
        <v>0.66666666666666663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57">
        <v>0.66666666666666663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</row>
    <row r="20" spans="9:20" ht="15.75" customHeight="1" x14ac:dyDescent="0.15">
      <c r="I20" s="56">
        <v>0.70833333333333337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57">
        <v>0.70833333333333337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</row>
    <row r="21" spans="9:20" ht="15.75" customHeight="1" x14ac:dyDescent="0.15">
      <c r="I21" s="56">
        <v>0.75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57">
        <v>0.75</v>
      </c>
      <c r="P21" s="4">
        <v>0</v>
      </c>
      <c r="Q21" s="4">
        <v>0</v>
      </c>
      <c r="R21" s="4">
        <v>0</v>
      </c>
      <c r="S21" s="4">
        <v>1</v>
      </c>
      <c r="T21" s="4">
        <v>0</v>
      </c>
    </row>
    <row r="22" spans="9:20" ht="15.75" customHeight="1" x14ac:dyDescent="0.15">
      <c r="I22" s="56">
        <v>0.79166666666666663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57">
        <v>0.79166666666666663</v>
      </c>
      <c r="P22" s="4">
        <v>1</v>
      </c>
      <c r="Q22" s="4">
        <v>0</v>
      </c>
      <c r="R22" s="4">
        <v>1</v>
      </c>
      <c r="S22" s="4">
        <v>1</v>
      </c>
      <c r="T22" s="4">
        <v>1</v>
      </c>
    </row>
    <row r="23" spans="9:20" ht="15.75" customHeight="1" x14ac:dyDescent="0.15">
      <c r="I23" s="56">
        <v>0.83333333333333337</v>
      </c>
      <c r="J23" s="4">
        <v>0</v>
      </c>
      <c r="K23" s="4">
        <v>0</v>
      </c>
      <c r="L23" s="4">
        <v>1</v>
      </c>
      <c r="M23" s="4">
        <v>0</v>
      </c>
      <c r="N23" s="4">
        <v>0</v>
      </c>
      <c r="O23" s="57">
        <v>0.83333333333333337</v>
      </c>
      <c r="P23" s="4">
        <v>1</v>
      </c>
      <c r="Q23" s="4">
        <v>0</v>
      </c>
      <c r="R23" s="4">
        <v>1</v>
      </c>
      <c r="S23" s="4">
        <v>1</v>
      </c>
      <c r="T23" s="4">
        <v>1</v>
      </c>
    </row>
    <row r="24" spans="9:20" ht="15.75" customHeight="1" x14ac:dyDescent="0.15">
      <c r="I24" s="56">
        <v>0.875</v>
      </c>
      <c r="J24" s="4">
        <v>1</v>
      </c>
      <c r="K24" s="4">
        <v>1</v>
      </c>
      <c r="L24" s="4">
        <v>1</v>
      </c>
      <c r="M24" s="4">
        <v>0</v>
      </c>
      <c r="N24" s="4">
        <v>0</v>
      </c>
      <c r="O24" s="57">
        <v>0.875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</row>
    <row r="25" spans="9:20" ht="15.75" customHeight="1" x14ac:dyDescent="0.15">
      <c r="I25" s="56">
        <v>0.91666666666666663</v>
      </c>
      <c r="J25" s="4">
        <v>1</v>
      </c>
      <c r="K25" s="4">
        <v>1</v>
      </c>
      <c r="L25" s="4">
        <v>1</v>
      </c>
      <c r="M25" s="4">
        <v>0</v>
      </c>
      <c r="N25" s="4">
        <v>0</v>
      </c>
      <c r="O25" s="57">
        <v>0.91666666666666663</v>
      </c>
      <c r="P25" s="4">
        <v>0</v>
      </c>
      <c r="Q25" s="4">
        <v>0</v>
      </c>
      <c r="R25" s="4">
        <v>0</v>
      </c>
      <c r="S25" s="4">
        <v>1</v>
      </c>
      <c r="T25" s="4">
        <v>1</v>
      </c>
    </row>
    <row r="26" spans="9:20" ht="15.75" customHeight="1" x14ac:dyDescent="0.15">
      <c r="I26" s="56">
        <v>0.95833333333333337</v>
      </c>
      <c r="J26" s="4">
        <v>1</v>
      </c>
      <c r="K26" s="4">
        <v>1</v>
      </c>
      <c r="L26" s="4">
        <v>1</v>
      </c>
      <c r="M26" s="4">
        <v>0</v>
      </c>
      <c r="N26" s="4">
        <v>0</v>
      </c>
      <c r="O26" s="57">
        <v>0.95833333333333337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</row>
    <row r="27" spans="9:20" ht="15.75" customHeight="1" x14ac:dyDescent="0.15">
      <c r="I27" s="56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37"/>
  <sheetViews>
    <sheetView workbookViewId="0"/>
  </sheetViews>
  <sheetFormatPr baseColWidth="10" defaultColWidth="12.6640625" defaultRowHeight="15.75" customHeight="1" x14ac:dyDescent="0.15"/>
  <cols>
    <col min="1" max="1" width="18.1640625" customWidth="1"/>
  </cols>
  <sheetData>
    <row r="1" spans="1:12" ht="15.75" customHeight="1" x14ac:dyDescent="0.15">
      <c r="A1" s="4" t="s">
        <v>72</v>
      </c>
      <c r="G1" s="4" t="s">
        <v>73</v>
      </c>
    </row>
    <row r="2" spans="1:12" ht="15.75" customHeight="1" x14ac:dyDescent="0.15">
      <c r="B2" s="4" t="s">
        <v>44</v>
      </c>
      <c r="C2" s="4" t="s">
        <v>37</v>
      </c>
      <c r="D2" s="4" t="s">
        <v>18</v>
      </c>
      <c r="E2" s="4" t="s">
        <v>41</v>
      </c>
      <c r="F2" s="4" t="s">
        <v>48</v>
      </c>
      <c r="G2" s="55"/>
      <c r="H2" s="4" t="s">
        <v>44</v>
      </c>
      <c r="I2" s="4" t="s">
        <v>37</v>
      </c>
      <c r="J2" s="4" t="s">
        <v>18</v>
      </c>
      <c r="K2" s="4" t="s">
        <v>41</v>
      </c>
      <c r="L2" s="4" t="s">
        <v>48</v>
      </c>
    </row>
    <row r="3" spans="1:12" ht="15.75" customHeight="1" x14ac:dyDescent="0.15">
      <c r="A3" s="56">
        <v>0</v>
      </c>
      <c r="B3" s="4">
        <v>1</v>
      </c>
      <c r="C3" s="4">
        <v>1</v>
      </c>
      <c r="D3" s="4">
        <v>1</v>
      </c>
      <c r="E3" s="4">
        <v>0</v>
      </c>
      <c r="F3" s="4">
        <v>0</v>
      </c>
      <c r="G3" s="57">
        <v>0</v>
      </c>
      <c r="H3" s="4">
        <v>1</v>
      </c>
      <c r="I3" s="4">
        <v>1</v>
      </c>
      <c r="J3" s="4">
        <v>1</v>
      </c>
      <c r="K3" s="4">
        <v>1</v>
      </c>
      <c r="L3" s="4">
        <v>1</v>
      </c>
    </row>
    <row r="4" spans="1:12" ht="15.75" customHeight="1" x14ac:dyDescent="0.15">
      <c r="A4" s="56">
        <v>4.1666666666666664E-2</v>
      </c>
      <c r="B4" s="4">
        <v>1</v>
      </c>
      <c r="C4" s="4">
        <v>1</v>
      </c>
      <c r="D4" s="4">
        <v>1</v>
      </c>
      <c r="E4" s="4">
        <v>0</v>
      </c>
      <c r="F4" s="4">
        <v>0</v>
      </c>
      <c r="G4" s="57">
        <v>4.1666666666666664E-2</v>
      </c>
      <c r="H4" s="4">
        <v>1</v>
      </c>
      <c r="I4" s="4">
        <v>0</v>
      </c>
      <c r="J4" s="4">
        <v>1</v>
      </c>
      <c r="K4" s="4">
        <v>1</v>
      </c>
      <c r="L4" s="4">
        <v>1</v>
      </c>
    </row>
    <row r="5" spans="1:12" ht="15.75" customHeight="1" x14ac:dyDescent="0.15">
      <c r="A5" s="56">
        <v>8.3333333333333329E-2</v>
      </c>
      <c r="B5" s="4">
        <v>1</v>
      </c>
      <c r="C5" s="4">
        <v>0</v>
      </c>
      <c r="D5" s="4">
        <v>1</v>
      </c>
      <c r="E5" s="4">
        <v>0</v>
      </c>
      <c r="F5" s="4">
        <v>0</v>
      </c>
      <c r="G5" s="57">
        <v>8.3333333333333329E-2</v>
      </c>
      <c r="H5" s="4">
        <v>1</v>
      </c>
      <c r="I5" s="4">
        <v>1</v>
      </c>
      <c r="J5" s="4">
        <v>0</v>
      </c>
      <c r="K5" s="4">
        <v>1</v>
      </c>
      <c r="L5" s="4">
        <v>1</v>
      </c>
    </row>
    <row r="6" spans="1:12" ht="15.75" customHeight="1" x14ac:dyDescent="0.15">
      <c r="A6" s="56">
        <v>0.125</v>
      </c>
      <c r="B6" s="4">
        <v>1</v>
      </c>
      <c r="C6" s="4">
        <v>1</v>
      </c>
      <c r="D6" s="4">
        <v>0</v>
      </c>
      <c r="E6" s="4">
        <v>0</v>
      </c>
      <c r="F6" s="4">
        <v>1</v>
      </c>
      <c r="G6" s="57">
        <v>0.125</v>
      </c>
      <c r="H6" s="4">
        <v>0</v>
      </c>
      <c r="I6" s="4">
        <v>1</v>
      </c>
      <c r="J6" s="4">
        <v>0</v>
      </c>
      <c r="K6" s="4">
        <v>1</v>
      </c>
      <c r="L6" s="4">
        <v>1</v>
      </c>
    </row>
    <row r="7" spans="1:12" ht="15.75" customHeight="1" x14ac:dyDescent="0.15">
      <c r="A7" s="56">
        <v>0.16666666666666666</v>
      </c>
      <c r="B7" s="4">
        <v>1</v>
      </c>
      <c r="C7" s="4">
        <v>1</v>
      </c>
      <c r="D7" s="4">
        <v>0</v>
      </c>
      <c r="E7" s="4">
        <v>0</v>
      </c>
      <c r="F7" s="4">
        <v>1</v>
      </c>
      <c r="G7" s="57">
        <v>0.16666666666666666</v>
      </c>
      <c r="H7" s="4">
        <v>0</v>
      </c>
      <c r="I7" s="4">
        <v>0</v>
      </c>
      <c r="J7" s="4">
        <v>0</v>
      </c>
      <c r="K7" s="4">
        <v>1</v>
      </c>
      <c r="L7" s="4">
        <v>1</v>
      </c>
    </row>
    <row r="8" spans="1:12" ht="15.75" customHeight="1" x14ac:dyDescent="0.15">
      <c r="A8" s="56">
        <v>0.20833333333333334</v>
      </c>
      <c r="B8" s="4">
        <v>1</v>
      </c>
      <c r="C8" s="4">
        <v>1</v>
      </c>
      <c r="D8" s="4">
        <v>1</v>
      </c>
      <c r="E8" s="4">
        <v>0</v>
      </c>
      <c r="F8" s="4">
        <v>0</v>
      </c>
      <c r="G8" s="57">
        <v>0.20833333333333334</v>
      </c>
      <c r="H8" s="4">
        <v>1</v>
      </c>
      <c r="I8" s="4">
        <v>0</v>
      </c>
      <c r="J8" s="4">
        <v>1</v>
      </c>
      <c r="K8" s="4">
        <v>1</v>
      </c>
      <c r="L8" s="4">
        <v>1</v>
      </c>
    </row>
    <row r="9" spans="1:12" ht="15.75" customHeight="1" x14ac:dyDescent="0.15">
      <c r="A9" s="56">
        <v>0.25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57">
        <v>0.25</v>
      </c>
      <c r="H9" s="4">
        <v>0</v>
      </c>
      <c r="I9" s="4">
        <v>1</v>
      </c>
      <c r="J9" s="4">
        <v>1</v>
      </c>
      <c r="K9" s="4">
        <v>1</v>
      </c>
      <c r="L9" s="4">
        <v>1</v>
      </c>
    </row>
    <row r="10" spans="1:12" ht="15.75" customHeight="1" x14ac:dyDescent="0.15">
      <c r="A10" s="56">
        <v>0.29166666666666669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57">
        <v>0.29166666666666669</v>
      </c>
      <c r="H10" s="4">
        <v>0</v>
      </c>
      <c r="I10" s="4">
        <v>0</v>
      </c>
      <c r="J10" s="4">
        <v>0</v>
      </c>
      <c r="K10" s="4">
        <v>1</v>
      </c>
      <c r="L10" s="4">
        <v>1</v>
      </c>
    </row>
    <row r="11" spans="1:12" ht="15.75" customHeight="1" x14ac:dyDescent="0.15">
      <c r="A11" s="56">
        <v>0.33333333333333331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57">
        <v>0.33333333333333331</v>
      </c>
      <c r="H11" s="4">
        <v>0</v>
      </c>
      <c r="I11" s="4">
        <v>0</v>
      </c>
      <c r="J11" s="4">
        <v>0</v>
      </c>
      <c r="K11" s="4">
        <v>1</v>
      </c>
      <c r="L11" s="4">
        <v>1</v>
      </c>
    </row>
    <row r="12" spans="1:12" ht="15.75" customHeight="1" x14ac:dyDescent="0.15">
      <c r="A12" s="56">
        <v>0.375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57">
        <v>0.375</v>
      </c>
      <c r="H12" s="4">
        <v>0</v>
      </c>
      <c r="I12" s="4">
        <v>0</v>
      </c>
      <c r="J12" s="4">
        <v>0</v>
      </c>
      <c r="K12" s="4">
        <v>1</v>
      </c>
      <c r="L12" s="4">
        <v>1</v>
      </c>
    </row>
    <row r="13" spans="1:12" ht="15.75" customHeight="1" x14ac:dyDescent="0.15">
      <c r="A13" s="56">
        <v>0.41666666666666669</v>
      </c>
      <c r="B13" s="4">
        <v>0</v>
      </c>
      <c r="C13" s="4">
        <v>1</v>
      </c>
      <c r="D13" s="4">
        <v>0</v>
      </c>
      <c r="E13" s="4">
        <v>0</v>
      </c>
      <c r="F13" s="4">
        <v>0</v>
      </c>
      <c r="G13" s="57">
        <v>0.41666666666666669</v>
      </c>
      <c r="H13" s="4">
        <v>0</v>
      </c>
      <c r="I13" s="4">
        <v>0</v>
      </c>
      <c r="J13" s="4">
        <v>0</v>
      </c>
      <c r="K13" s="4">
        <v>1</v>
      </c>
      <c r="L13" s="4">
        <v>1</v>
      </c>
    </row>
    <row r="14" spans="1:12" ht="15.75" customHeight="1" x14ac:dyDescent="0.15">
      <c r="A14" s="56">
        <v>0.45833333333333331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57">
        <v>0.45833333333333331</v>
      </c>
      <c r="H14" s="4">
        <v>0</v>
      </c>
      <c r="I14" s="4">
        <v>0</v>
      </c>
      <c r="J14" s="4">
        <v>0</v>
      </c>
      <c r="K14" s="4">
        <v>1</v>
      </c>
      <c r="L14" s="4">
        <v>1</v>
      </c>
    </row>
    <row r="15" spans="1:12" ht="15.75" customHeight="1" x14ac:dyDescent="0.15">
      <c r="A15" s="56">
        <v>0.5</v>
      </c>
      <c r="B15" s="4">
        <v>0</v>
      </c>
      <c r="C15" s="4">
        <v>0</v>
      </c>
      <c r="D15" s="4">
        <v>1</v>
      </c>
      <c r="E15" s="4">
        <v>0</v>
      </c>
      <c r="F15" s="4">
        <v>0</v>
      </c>
      <c r="G15" s="57">
        <v>0.5</v>
      </c>
      <c r="H15" s="4">
        <v>0</v>
      </c>
      <c r="I15" s="4">
        <v>0</v>
      </c>
      <c r="J15" s="4">
        <v>0</v>
      </c>
      <c r="K15" s="4">
        <v>1</v>
      </c>
      <c r="L15" s="4">
        <v>1</v>
      </c>
    </row>
    <row r="16" spans="1:12" ht="15.75" customHeight="1" x14ac:dyDescent="0.15">
      <c r="A16" s="56">
        <v>0.54166666666666663</v>
      </c>
      <c r="B16" s="4">
        <v>1</v>
      </c>
      <c r="C16" s="4">
        <v>0</v>
      </c>
      <c r="D16" s="4">
        <v>1</v>
      </c>
      <c r="E16" s="4">
        <v>0</v>
      </c>
      <c r="F16" s="4">
        <v>0</v>
      </c>
      <c r="G16" s="57">
        <v>0.54166666666666663</v>
      </c>
      <c r="H16" s="4">
        <v>0</v>
      </c>
      <c r="I16" s="4">
        <v>0</v>
      </c>
      <c r="J16" s="4">
        <v>0</v>
      </c>
      <c r="K16" s="4">
        <v>1</v>
      </c>
      <c r="L16" s="4">
        <v>1</v>
      </c>
    </row>
    <row r="17" spans="1:25" ht="15.75" customHeight="1" x14ac:dyDescent="0.15">
      <c r="A17" s="56">
        <v>0.58333333333333337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57">
        <v>0.58333333333333337</v>
      </c>
      <c r="H17" s="4">
        <v>1</v>
      </c>
      <c r="I17" s="4">
        <v>0</v>
      </c>
      <c r="J17" s="4">
        <v>0</v>
      </c>
      <c r="K17" s="4">
        <v>1</v>
      </c>
      <c r="L17" s="4">
        <v>0</v>
      </c>
    </row>
    <row r="18" spans="1:25" ht="15.75" customHeight="1" x14ac:dyDescent="0.15">
      <c r="A18" s="56">
        <v>0.625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57">
        <v>0.625</v>
      </c>
      <c r="H18" s="4">
        <v>0</v>
      </c>
      <c r="I18" s="4">
        <v>0</v>
      </c>
      <c r="J18" s="4">
        <v>0</v>
      </c>
      <c r="K18" s="4">
        <v>1</v>
      </c>
      <c r="L18" s="4">
        <v>0</v>
      </c>
    </row>
    <row r="19" spans="1:25" ht="15.75" customHeight="1" x14ac:dyDescent="0.15">
      <c r="A19" s="56">
        <v>0.66666666666666663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57">
        <v>0.66666666666666663</v>
      </c>
      <c r="H19" s="4">
        <v>0</v>
      </c>
      <c r="I19" s="4">
        <v>0</v>
      </c>
      <c r="J19" s="4">
        <v>0</v>
      </c>
      <c r="K19" s="4">
        <v>1</v>
      </c>
      <c r="L19" s="4">
        <v>0</v>
      </c>
    </row>
    <row r="20" spans="1:25" ht="15.75" customHeight="1" x14ac:dyDescent="0.15">
      <c r="A20" s="56">
        <v>0.70833333333333337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57">
        <v>0.70833333333333337</v>
      </c>
      <c r="H20" s="4">
        <v>0</v>
      </c>
      <c r="I20" s="4">
        <v>0</v>
      </c>
      <c r="J20" s="4">
        <v>1</v>
      </c>
      <c r="K20" s="4">
        <v>1</v>
      </c>
      <c r="L20" s="4">
        <v>1</v>
      </c>
    </row>
    <row r="21" spans="1:25" ht="15.75" customHeight="1" x14ac:dyDescent="0.15">
      <c r="A21" s="56">
        <v>0.75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57">
        <v>0.75</v>
      </c>
      <c r="H21" s="4">
        <v>0</v>
      </c>
      <c r="I21" s="4">
        <v>0</v>
      </c>
      <c r="J21" s="4">
        <v>0</v>
      </c>
      <c r="K21" s="4">
        <v>1</v>
      </c>
      <c r="L21" s="4">
        <v>0</v>
      </c>
    </row>
    <row r="22" spans="1:25" ht="15.75" customHeight="1" x14ac:dyDescent="0.15">
      <c r="A22" s="56">
        <v>0.79166666666666663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57">
        <v>0.79166666666666663</v>
      </c>
      <c r="H22" s="4">
        <v>1</v>
      </c>
      <c r="I22" s="4">
        <v>0</v>
      </c>
      <c r="J22" s="4">
        <v>1</v>
      </c>
      <c r="K22" s="4">
        <v>1</v>
      </c>
      <c r="L22" s="4">
        <v>1</v>
      </c>
    </row>
    <row r="23" spans="1:25" ht="15.75" customHeight="1" x14ac:dyDescent="0.15">
      <c r="A23" s="56">
        <v>0.83333333333333337</v>
      </c>
      <c r="B23" s="4">
        <v>0</v>
      </c>
      <c r="C23" s="4">
        <v>0</v>
      </c>
      <c r="D23" s="4">
        <v>1</v>
      </c>
      <c r="E23" s="4">
        <v>0</v>
      </c>
      <c r="F23" s="4">
        <v>0</v>
      </c>
      <c r="G23" s="57">
        <v>0.83333333333333337</v>
      </c>
      <c r="H23" s="4">
        <v>1</v>
      </c>
      <c r="I23" s="4">
        <v>0</v>
      </c>
      <c r="J23" s="4">
        <v>1</v>
      </c>
      <c r="K23" s="4">
        <v>1</v>
      </c>
      <c r="L23" s="4">
        <v>1</v>
      </c>
    </row>
    <row r="24" spans="1:25" ht="15.75" customHeight="1" x14ac:dyDescent="0.15">
      <c r="A24" s="56">
        <v>0.875</v>
      </c>
      <c r="B24" s="4">
        <v>1</v>
      </c>
      <c r="C24" s="4">
        <v>1</v>
      </c>
      <c r="D24" s="4">
        <v>1</v>
      </c>
      <c r="E24" s="4">
        <v>0</v>
      </c>
      <c r="F24" s="4">
        <v>0</v>
      </c>
      <c r="G24" s="57">
        <v>0.875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</row>
    <row r="25" spans="1:25" ht="15.75" customHeight="1" x14ac:dyDescent="0.15">
      <c r="A25" s="56">
        <v>0.91666666666666663</v>
      </c>
      <c r="B25" s="4">
        <v>1</v>
      </c>
      <c r="C25" s="4">
        <v>1</v>
      </c>
      <c r="D25" s="4">
        <v>1</v>
      </c>
      <c r="E25" s="4">
        <v>0</v>
      </c>
      <c r="F25" s="4">
        <v>0</v>
      </c>
      <c r="G25" s="57">
        <v>0.91666666666666663</v>
      </c>
      <c r="H25" s="4">
        <v>0</v>
      </c>
      <c r="I25" s="4">
        <v>0</v>
      </c>
      <c r="J25" s="4">
        <v>0</v>
      </c>
      <c r="K25" s="4">
        <v>1</v>
      </c>
      <c r="L25" s="4">
        <v>1</v>
      </c>
    </row>
    <row r="26" spans="1:25" ht="15.75" customHeight="1" x14ac:dyDescent="0.15">
      <c r="A26" s="56">
        <v>0.95833333333333337</v>
      </c>
      <c r="B26" s="4">
        <v>1</v>
      </c>
      <c r="C26" s="4">
        <v>1</v>
      </c>
      <c r="D26" s="4">
        <v>1</v>
      </c>
      <c r="E26" s="4">
        <v>0</v>
      </c>
      <c r="F26" s="4">
        <v>0</v>
      </c>
      <c r="G26" s="57">
        <v>0.95833333333333337</v>
      </c>
      <c r="H26" s="4">
        <v>0</v>
      </c>
      <c r="I26" s="4">
        <v>0</v>
      </c>
      <c r="J26" s="4">
        <v>1</v>
      </c>
      <c r="K26" s="4">
        <v>1</v>
      </c>
      <c r="L26" s="4">
        <v>1</v>
      </c>
    </row>
    <row r="30" spans="1:25" ht="15.75" customHeight="1" x14ac:dyDescent="0.15">
      <c r="A30" s="4" t="s">
        <v>72</v>
      </c>
    </row>
    <row r="32" spans="1:25" ht="15.75" customHeight="1" x14ac:dyDescent="0.15">
      <c r="A32" s="4" t="s">
        <v>44</v>
      </c>
      <c r="B32" s="4">
        <v>1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O32" s="4">
        <v>1</v>
      </c>
      <c r="W32" s="4">
        <v>1</v>
      </c>
      <c r="X32" s="4">
        <v>1</v>
      </c>
      <c r="Y32" s="4">
        <v>1</v>
      </c>
    </row>
    <row r="33" spans="1:26" ht="15.75" customHeight="1" x14ac:dyDescent="0.15">
      <c r="A33" s="4" t="s">
        <v>37</v>
      </c>
      <c r="B33" s="4">
        <v>1</v>
      </c>
      <c r="C33" s="4">
        <v>1</v>
      </c>
      <c r="E33" s="4">
        <v>1</v>
      </c>
      <c r="F33" s="4">
        <v>1</v>
      </c>
      <c r="G33" s="4">
        <v>1</v>
      </c>
      <c r="L33" s="4">
        <v>1</v>
      </c>
      <c r="W33" s="4">
        <v>1</v>
      </c>
      <c r="X33" s="4">
        <v>1</v>
      </c>
      <c r="Y33" s="4">
        <v>1</v>
      </c>
    </row>
    <row r="34" spans="1:26" ht="15.75" customHeight="1" x14ac:dyDescent="0.15">
      <c r="A34" s="4" t="s">
        <v>18</v>
      </c>
      <c r="B34" s="4">
        <v>1</v>
      </c>
      <c r="C34" s="4">
        <v>1</v>
      </c>
      <c r="D34" s="4">
        <v>1</v>
      </c>
      <c r="G34" s="4">
        <v>1</v>
      </c>
      <c r="N34" s="4">
        <v>1</v>
      </c>
      <c r="O34" s="4">
        <v>1</v>
      </c>
      <c r="V34" s="4">
        <v>1</v>
      </c>
      <c r="W34" s="4">
        <v>1</v>
      </c>
      <c r="X34" s="4">
        <v>1</v>
      </c>
      <c r="Y34" s="4">
        <v>1</v>
      </c>
    </row>
    <row r="35" spans="1:26" ht="15.75" customHeight="1" x14ac:dyDescent="0.15">
      <c r="A35" s="4" t="s">
        <v>41</v>
      </c>
    </row>
    <row r="36" spans="1:26" ht="15.75" customHeight="1" x14ac:dyDescent="0.15">
      <c r="A36" s="4" t="s">
        <v>48</v>
      </c>
      <c r="E36" s="4">
        <v>1</v>
      </c>
      <c r="F36" s="4">
        <v>1</v>
      </c>
    </row>
    <row r="37" spans="1:26" ht="15.75" customHeight="1" x14ac:dyDescent="0.15">
      <c r="B37" s="56">
        <v>0</v>
      </c>
      <c r="C37" s="56">
        <v>4.1666666666666664E-2</v>
      </c>
      <c r="D37" s="56">
        <v>8.3333333333333329E-2</v>
      </c>
      <c r="E37" s="56">
        <v>0.125</v>
      </c>
      <c r="F37" s="56">
        <v>0.16666666666666666</v>
      </c>
      <c r="G37" s="56">
        <v>0.20833333333333334</v>
      </c>
      <c r="H37" s="56">
        <v>0.25</v>
      </c>
      <c r="I37" s="56">
        <v>0.29166666666666669</v>
      </c>
      <c r="J37" s="56">
        <v>0.33333333333333331</v>
      </c>
      <c r="K37" s="56">
        <v>0.375</v>
      </c>
      <c r="L37" s="56">
        <v>0.41666666666666669</v>
      </c>
      <c r="M37" s="56">
        <v>0.45833333333333331</v>
      </c>
      <c r="N37" s="56">
        <v>0.5</v>
      </c>
      <c r="O37" s="56">
        <v>0.54166666666666663</v>
      </c>
      <c r="P37" s="56">
        <v>0.58333333333333337</v>
      </c>
      <c r="Q37" s="56">
        <v>0.625</v>
      </c>
      <c r="R37" s="56">
        <v>0.66666666666666663</v>
      </c>
      <c r="S37" s="56">
        <v>0.70833333333333337</v>
      </c>
      <c r="T37" s="56">
        <v>0.75</v>
      </c>
      <c r="U37" s="56">
        <v>0.79166666666666663</v>
      </c>
      <c r="V37" s="56">
        <v>0.83333333333333337</v>
      </c>
      <c r="W37" s="56">
        <v>0.875</v>
      </c>
      <c r="X37" s="56">
        <v>0.91666666666666663</v>
      </c>
      <c r="Y37" s="56">
        <v>0.95833333333333337</v>
      </c>
      <c r="Z37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Recompiled Data</vt:lpstr>
      <vt:lpstr>Sheet1</vt:lpstr>
      <vt:lpstr>Sorted by time</vt:lpstr>
      <vt:lpstr>Meredith</vt:lpstr>
      <vt:lpstr>Compiled Data</vt:lpstr>
      <vt:lpstr>Anuran Species List</vt:lpstr>
      <vt:lpstr>Graphs Anuran Species List</vt:lpstr>
      <vt:lpstr>Graphs Fall 2025</vt:lpstr>
      <vt:lpstr>Spring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Samantha Rose Cotton</cp:lastModifiedBy>
  <dcterms:created xsi:type="dcterms:W3CDTF">2026-10-08T21:01:14Z</dcterms:created>
  <dcterms:modified xsi:type="dcterms:W3CDTF">2026-10-08T21:03:02Z</dcterms:modified>
</cp:coreProperties>
</file>